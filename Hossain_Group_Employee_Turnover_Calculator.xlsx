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4107657ba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9d0a2e54164cc2"/>
    <x:sheet xmlns:r="http://schemas.openxmlformats.org/officeDocument/2006/relationships" name="Employee_Data" sheetId="2" r:id="R3b103e2d0ca14632"/>
    <x:sheet xmlns:r="http://schemas.openxmlformats.org/officeDocument/2006/relationships" name="Lookup_Lists" sheetId="3" r:id="Rd91b973e03f44026"/>
    <x:sheet xmlns:r="http://schemas.openxmlformats.org/officeDocument/2006/relationships" name="Turnover_Calculator" sheetId="4" r:id="Rd59b8318831c4a6b"/>
    <x:sheet xmlns:r="http://schemas.openxmlformats.org/officeDocument/2006/relationships" name="Monthly_Summary" sheetId="5" r:id="R378060bbde564241"/>
    <x:sheet xmlns:r="http://schemas.openxmlformats.org/officeDocument/2006/relationships" name="Department_Summary" sheetId="6" r:id="R835ab3d167224d79"/>
    <x:sheet xmlns:r="http://schemas.openxmlformats.org/officeDocument/2006/relationships" name="Exit_Reason_Summary" sheetId="7" r:id="R25d5debd69144471"/>
    <x:sheet xmlns:r="http://schemas.openxmlformats.org/officeDocument/2006/relationships" name="Dashboard" sheetId="8" r:id="R014e54baf3504e70"/>
    <x:sheet xmlns:r="http://schemas.openxmlformats.org/officeDocument/2006/relationships" name="Data_Dictionary" sheetId="9" r:id="R8ce7b4e9306b457b"/>
    <x:sheet xmlns:r="http://schemas.openxmlformats.org/officeDocument/2006/relationships" name="Chart_Data" sheetId="10" r:id="R8e7bea7d346f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mmm-yyyy"/>
    <x:numFmt numFmtId="202" formatCode="0.00%"/>
    <x:numFmt numFmtId="203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55B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22"/>
      <x:color rgb="FF12355B"/>
      <x:name val="Carlito"/>
    </x:font>
    <x:font>
      <x:b/>
      <x:sz val="16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12355B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D64545"/>
      </x:font>
      <x:fill>
        <x:patternFill>
          <x:bgColor rgb="FFFDECEC"/>
        </x:patternFill>
      </x:fill>
    </x:dxf>
    <x:dxf>
      <x:font>
        <x:color rgb="FF2E8B57"/>
      </x:font>
      <x:fill>
        <x:patternFill>
          <x:bgColor rgb="FFE8F5E9"/>
        </x:patternFill>
      </x:fill>
    </x:dxf>
    <x:dxf>
      <x:font>
        <x:b/>
        <x:color rgb="FF2E8B57"/>
      </x:font>
      <x:fill>
        <x:patternFill>
          <x:bgColor rgb="FFDFF2E1"/>
        </x:patternFill>
      </x:fill>
    </x:dxf>
    <x:dxf>
      <x:font>
        <x:b/>
        <x:color rgb="FF8A6500"/>
      </x:font>
      <x:fill>
        <x:patternFill>
          <x:bgColor rgb="FFFFF4CC"/>
        </x:patternFill>
      </x:fill>
    </x:dxf>
    <x:dxf>
      <x:font>
        <x:b/>
        <x:color rgb="FFD64545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00943592f4dd7" /><Relationship Type="http://schemas.openxmlformats.org/officeDocument/2006/relationships/theme" Target="/xl/theme/theme1.xml" Id="R6bfc9feb74c445c7" /><Relationship Type="http://schemas.openxmlformats.org/officeDocument/2006/relationships/sharedStrings" Target="/xl/sharedStrings.xml" Id="R049d632b68e64550" /><Relationship Type="http://schemas.openxmlformats.org/officeDocument/2006/relationships/worksheet" Target="/xl/worksheets/sheet1.xml" Id="Rf69d0a2e54164cc2" /><Relationship Type="http://schemas.openxmlformats.org/officeDocument/2006/relationships/worksheet" Target="/xl/worksheets/sheet2.xml" Id="R3b103e2d0ca14632" /><Relationship Type="http://schemas.openxmlformats.org/officeDocument/2006/relationships/worksheet" Target="/xl/worksheets/sheet3.xml" Id="Rd91b973e03f44026" /><Relationship Type="http://schemas.openxmlformats.org/officeDocument/2006/relationships/worksheet" Target="/xl/worksheets/sheet4.xml" Id="Rd59b8318831c4a6b" /><Relationship Type="http://schemas.openxmlformats.org/officeDocument/2006/relationships/worksheet" Target="/xl/worksheets/sheet5.xml" Id="R378060bbde564241" /><Relationship Type="http://schemas.openxmlformats.org/officeDocument/2006/relationships/worksheet" Target="/xl/worksheets/sheet6.xml" Id="R835ab3d167224d79" /><Relationship Type="http://schemas.openxmlformats.org/officeDocument/2006/relationships/worksheet" Target="/xl/worksheets/sheet7.xml" Id="R25d5debd69144471" /><Relationship Type="http://schemas.openxmlformats.org/officeDocument/2006/relationships/worksheet" Target="/xl/worksheets/sheet8.xml" Id="R014e54baf3504e70" /><Relationship Type="http://schemas.openxmlformats.org/officeDocument/2006/relationships/worksheet" Target="/xl/worksheets/sheet9.xml" Id="R8ce7b4e9306b457b" /><Relationship Type="http://schemas.openxmlformats.org/officeDocument/2006/relationships/worksheet" Target="/xl/worksheets/sheet10.xml" Id="R8e7bea7d346f4e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cbe95230f14b93" /><Relationship Type="http://schemas.openxmlformats.org/officeDocument/2006/relationships/chart" Target="/xl/drawings/charts/chart2.xml" Id="R4f4aaeb51d854b47" /><Relationship Type="http://schemas.openxmlformats.org/officeDocument/2006/relationships/chart" Target="/xl/drawings/charts/chart3.xml" Id="R2469b0bd476a45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Turnover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Turnover Rate</c:v>
          </c:tx>
          <c:cat>
            <c:strRef>
              <c:f>'Chart_Data'!$A$2:$A$19</c:f>
              <c:strCache>
                <c:ptCount val="0"/>
              </c:strCache>
            </c:strRef>
          </c:cat>
          <c:val>
            <c:numRef>
              <c:f>'Chart_Data'!$B$2:$B$19</c:f>
              <c:numCache>
                <c:formatCode>0.00%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Turnover by Department</a:t>
            </a:r>
          </a:p>
        </c:rich>
      </c:tx>
      <c:overlay val="0"/>
    </c:title>
    <c:autoTitleDeleted val="0"/>
    <c:plotArea>
      <c:layout/>
      <c:barChart>
        <c:barDir val="bar"/>
        <c:varyColors val="0"/>
        <c:ser>
          <c:idx val="0"/>
          <c:order val="0"/>
          <c:tx>
            <c:v>Turnover Rate</c:v>
          </c:tx>
          <c:cat>
            <c:strRef>
              <c:f>'Chart_Data'!$D$2:$D$9</c:f>
              <c:strCache>
                <c:ptCount val="0"/>
              </c:strCache>
            </c:strRef>
          </c:cat>
          <c:val>
            <c:numRef>
              <c:f>'Chart_Data'!$E$2:$E$9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Exit Reasons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Exits</c:v>
          </c:tx>
          <c:cat>
            <c:strRef>
              <c:f>'Chart_Data'!$G$2:$G$11</c:f>
              <c:strCache>
                <c:ptCount val="0"/>
              </c:strCache>
            </c:strRef>
          </c:cat>
          <c:val>
            <c:numRef>
              <c:f>'Chart_Data'!$H$2:$H$11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cbe95230f14b93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4aaeb51d854b47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69b0bd476a45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MasterTable" displayName="EmployeeMasterTable" ref="A1:N763" headerRowCount="1">
  <x:tableColumns count="14">
    <x:tableColumn id="1" name="Employee_ID"/>
    <x:tableColumn id="2" name="Employee_Name"/>
    <x:tableColumn id="3" name="Gender"/>
    <x:tableColumn id="4" name="Department"/>
    <x:tableColumn id="5" name="Designation"/>
    <x:tableColumn id="6" name="Location"/>
    <x:tableColumn id="7" name="Employment_Type"/>
    <x:tableColumn id="8" name="Join_Date"/>
    <x:tableColumn id="9" name="Exit_Date"/>
    <x:tableColumn id="10" name="Exit_Reason"/>
    <x:tableColumn id="11" name="Status"/>
    <x:tableColumn id="12" name="Tenure_Months"/>
    <x:tableColumn id="13" name="Join_Month"/>
    <x:tableColumn id="14" name="Exit_Month"/>
  </x:tableColumns>
  <x:tableStyleInfo name="TableStyleMedium2" showRowStripes="1"/>
</x:table>
</file>

<file path=xl/tables/table2.xml><?xml version="1.0" encoding="utf-8"?>
<x:table xmlns:x="http://schemas.openxmlformats.org/spreadsheetml/2006/main" id="2" name="CompanyMonthlyTable" displayName="CompanyMonthlyTable" ref="A1:K19" headerRowCount="1">
  <x:tableColumns count="11">
    <x:tableColumn id="1" name="MonthStart"/>
    <x:tableColumn id="2" name="MonthLabel"/>
    <x:tableColumn id="3" name="Year"/>
    <x:tableColumn id="4" name="OpeningHeadcount"/>
    <x:tableColumn id="5" name="Hires"/>
    <x:tableColumn id="6" name="Exits"/>
    <x:tableColumn id="7" name="ClosingHeadcount"/>
    <x:tableColumn id="8" name="AverageHeadcount"/>
    <x:tableColumn id="9" name="TurnoverRate"/>
    <x:tableColumn id="10" name="AnnualizedTurnoverRate"/>
    <x:tableColumn id="11" name="RiskLevel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SummaryTable" displayName="DepartmentSummaryTable" ref="A1:F9" headerRowCount="1">
  <x:tableColumns count="6">
    <x:tableColumn id="1" name="Department"/>
    <x:tableColumn id="2" name="AverageHeadcount"/>
    <x:tableColumn id="3" name="Exits"/>
    <x:tableColumn id="4" name="TurnoverRate"/>
    <x:tableColumn id="5" name="AnnualizedTurnoverRate"/>
    <x:tableColumn id="6" name="RiskLevel"/>
  </x:tableColumns>
  <x:tableStyleInfo name="TableStyleMedium2" showRowStripes="1"/>
</x:table>
</file>

<file path=xl/tables/table4.xml><?xml version="1.0" encoding="utf-8"?>
<x:table xmlns:x="http://schemas.openxmlformats.org/spreadsheetml/2006/main" id="4" name="ExitReasonTable" displayName="ExitReasonTable" ref="A1:C11" headerRowCount="1">
  <x:tableColumns count="3">
    <x:tableColumn id="1" name="ExitReason"/>
    <x:tableColumn id="2" name="Exits"/>
    <x:tableColumn id="3" name="ShareP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9c4dd60d5f43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f522c8bbb67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d2a6e4b2ff944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6ea25fce89040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75fdc6cd25c4aa6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" t="str">
        <x:v>Hossain Group Employee Turnover Analytics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/>
    <x:row r="4" ht="22" customHeight="1">
      <x:c r="A4" s="12" t="str">
        <x:v>Project Owner Role</x:v>
      </x:c>
      <x:c r="B4" s="16" t="str">
        <x:v>HR Business Executive</x:v>
      </x:c>
    </x:row>
    <x:row r="5" ht="22" customHeight="1">
      <x:c r="A5" s="12" t="str">
        <x:v>Company</x:v>
      </x:c>
      <x:c r="B5" s="16" t="str">
        <x:v>Hossain Group</x:v>
      </x:c>
    </x:row>
    <x:row r="6" ht="22" customHeight="1">
      <x:c r="A6" s="12" t="str">
        <x:v>Purpose</x:v>
      </x:c>
      <x:c r="B6" s="16" t="str">
        <x:v>Calculate, monitor, and visualize employee turnover in Excel and Power BI.</x:v>
      </x:c>
    </x:row>
    <x:row r="7" ht="22" customHeight="1">
      <x:c r="A7" s="12" t="str">
        <x:v>Data</x:v>
      </x:c>
      <x:c r="B7" s="16" t="str">
        <x:v>Synthetic Bangladesh-based HR data for portfolio and learning use.</x:v>
      </x:c>
    </x:row>
    <x:row r="8" ht="22" customHeight="1">
      <x:c r="A8" s="12" t="str">
        <x:v>Period</x:v>
      </x:c>
      <x:c r="B8" s="16" t="str">
        <x:v>01-Jan-2025 to 30-Jun-2026</x:v>
      </x:c>
    </x:row>
    <x:row r="9" ht="22" customHeight="1">
      <x:c r="A9" s="12" t="str">
        <x:v>Core Formula</x:v>
      </x:c>
      <x:c r="B9" s="16" t="str">
        <x:v>Turnover Rate = Employees Exited ÷ Average Headcount</x:v>
      </x:c>
    </x:row>
    <x:row r="10" ht="22" customHeight="1">
      <x:c r="A10" s="12" t="str">
        <x:v>Risk Bands</x:v>
      </x:c>
      <x:c r="B10" s="16" t="str">
        <x:v>Low &lt;5%; Moderate 5–10%; High 10–15%; Very High 15–20%; Critical ≥20%</x:v>
      </x:c>
    </x:row>
    <x:row r="11" ht="22" customHeight="1">
      <x:c r="A11" s="12" t="str">
        <x:v>Power BI</x:v>
      </x:c>
      <x:c r="B11" s="16" t="str">
        <x:v>Run scripts/run_project.bat, then open the generated PBIP project.</x:v>
      </x:c>
    </x:row>
    <x:row r="12" ht="22" customHeight="1">
      <x:c r="A12" s="12" t="str">
        <x:v>Looker Studio</x:v>
      </x:c>
      <x:c r="B12" s="16" t="str">
        <x:v>Upload looker_studio/hossain_group_looker_studio.csv.</x:v>
      </x:c>
    </x:row>
    <x:row r="13" ht="22" customHeight="1"/>
    <x:row r="14" ht="22" customHeight="1">
      <x:c r="A14" s="20" t="str">
        <x:v>Excel Workflow</x:v>
      </x:c>
      <x:c r="B14" s="20"/>
      <x:c r="C14" s="20"/>
      <x:c r="D14" s="20"/>
      <x:c r="E14" s="20"/>
      <x:c r="F14" s="20"/>
      <x:c r="G14" s="20"/>
      <x:c r="H14" s="20"/>
    </x:row>
    <x:row r="15" ht="22" customHeight="1">
      <x:c r="A15" s="28" t="str">
        <x:v>Step</x:v>
      </x:c>
      <x:c r="B15" s="28" t="str">
        <x:v>Action</x:v>
      </x:c>
      <x:c r="C15" s="28" t="str"/>
      <x:c r="D15" s="28" t="str"/>
      <x:c r="E15" s="28" t="str"/>
      <x:c r="F15" s="28" t="str"/>
      <x:c r="G15" s="28" t="str"/>
      <x:c r="H15" s="28" t="str"/>
    </x:row>
    <x:row r="16" ht="22" customHeight="1">
      <x:c r="A16" s="16" t="str">
        <x:v>1</x:v>
      </x:c>
      <x:c r="B16" s="16" t="str">
        <x:v>Update or replace employee rows in Employee_Data.</x:v>
      </x:c>
      <x:c r="C16" s="16" t="str"/>
      <x:c r="D16" s="16" t="str"/>
      <x:c r="E16" s="16" t="str"/>
      <x:c r="F16" s="16" t="str"/>
      <x:c r="G16" s="16" t="str"/>
      <x:c r="H16" s="16" t="str"/>
    </x:row>
    <x:row r="17" ht="22" customHeight="1">
      <x:c r="A17" s="16" t="str">
        <x:v>2</x:v>
      </x:c>
      <x:c r="B17" s="16" t="str">
        <x:v>Use Turnover_Calculator filters and date range.</x:v>
      </x:c>
      <x:c r="C17" s="16" t="str"/>
      <x:c r="D17" s="16" t="str"/>
      <x:c r="E17" s="16" t="str"/>
      <x:c r="F17" s="16" t="str"/>
      <x:c r="G17" s="16" t="str"/>
      <x:c r="H17" s="16" t="str"/>
    </x:row>
    <x:row r="18" ht="22" customHeight="1">
      <x:c r="A18" s="16" t="str">
        <x:v>3</x:v>
      </x:c>
      <x:c r="B18" s="16" t="str">
        <x:v>Review Dashboard, Monthly_Summary, and department analysis.</x:v>
      </x:c>
      <x:c r="C18" s="16" t="str"/>
      <x:c r="D18" s="16" t="str"/>
      <x:c r="E18" s="16" t="str"/>
      <x:c r="F18" s="16" t="str"/>
      <x:c r="G18" s="16" t="str"/>
      <x:c r="H18" s="16" t="str"/>
    </x:row>
    <x:row r="19" ht="22" customHeight="1">
      <x:c r="A19" s="16" t="str">
        <x:v>4</x:v>
      </x:c>
      <x:c r="B19" s="16" t="str">
        <x:v>Save the workbook; refresh Power BI data after running the script.</x:v>
      </x:c>
      <x:c r="C19" s="16" t="str"/>
      <x:c r="D19" s="16" t="str"/>
      <x:c r="E19" s="16" t="str"/>
      <x:c r="F19" s="16" t="str"/>
      <x:c r="G19" s="16" t="str"/>
      <x:c r="H19" s="16" t="str"/>
    </x:row>
    <x:row r="20" ht="22" customHeight="1">
      <x:c r="A20" s="16" t="str">
        <x:v>5</x:v>
      </x:c>
      <x:c r="B20" s="16" t="str">
        <x:v>Use the Kaggle notebook for reproducible portfolio analysis.</x:v>
      </x:c>
      <x:c r="C20" s="16" t="str"/>
      <x:c r="D20" s="16" t="str"/>
      <x:c r="E20" s="16" t="str"/>
      <x:c r="F20" s="16" t="str"/>
      <x:c r="G20" s="16" t="str"/>
      <x:c r="H20" s="16" t="str"/>
    </x:row>
  </x:sheetData>
  <x:mergeCells>
    <x:mergeCell ref="A1:H2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0" hidden="0" customWidth="1"/>
    <x:col min="4" max="4" width="22" hidden="0" customWidth="1"/>
    <x:col min="5" max="5" width="27" hidden="0" customWidth="1"/>
    <x:col min="6" max="6" width="22" hidden="0" customWidth="1"/>
    <x:col min="7" max="7" width="17" hidden="0" customWidth="1"/>
    <x:col min="8" max="8" width="14" hidden="0" customWidth="1"/>
    <x:col min="9" max="9" width="14" hidden="0" customWidth="1"/>
    <x:col min="10" max="10" width="24" hidden="0" customWidth="1"/>
    <x:col min="11" max="11" width="11" hidden="0" customWidth="1"/>
    <x:col min="12" max="12" width="14" hidden="0" customWidth="1"/>
    <x:col min="13" max="13" width="13" hidden="0" customWidth="1"/>
    <x:col min="14" max="14" width="13" hidden="0" customWidth="1"/>
  </x:cols>
  <x:sheetData>
    <x:row r="1">
      <x:c r="A1" s="34" t="str">
        <x:v>Employee_ID</x:v>
      </x:c>
      <x:c r="B1" s="34" t="str">
        <x:v>Employee_Name</x:v>
      </x:c>
      <x:c r="C1" s="34" t="str">
        <x:v>Gender</x:v>
      </x:c>
      <x:c r="D1" s="34" t="str">
        <x:v>Department</x:v>
      </x:c>
      <x:c r="E1" s="34" t="str">
        <x:v>Designation</x:v>
      </x:c>
      <x:c r="F1" s="34" t="str">
        <x:v>Location</x:v>
      </x:c>
      <x:c r="G1" s="34" t="str">
        <x:v>Employment_Type</x:v>
      </x:c>
      <x:c r="H1" s="34" t="str">
        <x:v>Join_Date</x:v>
      </x:c>
      <x:c r="I1" s="34" t="str">
        <x:v>Exit_Date</x:v>
      </x:c>
      <x:c r="J1" s="34" t="str">
        <x:v>Exit_Reason</x:v>
      </x:c>
      <x:c r="K1" s="34" t="str">
        <x:v>Status</x:v>
      </x:c>
      <x:c r="L1" s="34" t="str">
        <x:v>Tenure_Months</x:v>
      </x:c>
      <x:c r="M1" s="34" t="str">
        <x:v>Join_Month</x:v>
      </x:c>
      <x:c r="N1" s="34" t="str">
        <x:v>Exit_Month</x:v>
      </x:c>
    </x:row>
    <x:row r="2">
      <x:c r="A2" s="16" t="str">
        <x:v>HG-01001</x:v>
      </x:c>
      <x:c r="B2" s="16" t="str">
        <x:v>Nazmul Khan</x:v>
      </x:c>
      <x:c r="C2" s="16" t="str">
        <x:v>Male</x:v>
      </x:c>
      <x:c r="D2" s="16" t="str">
        <x:v>Production</x:v>
      </x:c>
      <x:c r="E2" s="16" t="str">
        <x:v>Line Supervisor</x:v>
      </x:c>
      <x:c r="F2" s="16" t="str">
        <x:v>Dhaka Head Office</x:v>
      </x:c>
      <x:c r="G2" s="16" t="str">
        <x:v>Contract</x:v>
      </x:c>
      <x:c r="H2" s="35" t="n">
        <x:v>44362</x:v>
      </x:c>
      <x:c r="I2" s="35" t="n">
        <x:v>45850</x:v>
      </x:c>
      <x:c r="J2" s="16" t="str">
        <x:v>End of Contract</x:v>
      </x:c>
      <x:c r="K2" s="16" t="str">
        <x:f>IF(I2="","Active","Exited")</x:f>
        <x:v>Exited</x:v>
      </x:c>
      <x:c r="L2" s="16" t="n">
        <x:f>(YEAR(IF(I2="",TODAY(),I2))-YEAR(H2))*12+MONTH(IF(I2="",TODAY(),I2))-MONTH(H2)</x:f>
        <x:v>49</x:v>
      </x:c>
      <x:c r="M2" s="36" t="n">
        <x:f>DATE(YEAR(H2),MONTH(H2),1)</x:f>
        <x:v>44348</x:v>
      </x:c>
      <x:c r="N2" s="36" t="n">
        <x:f>IF(I2="","",DATE(YEAR(I2),MONTH(I2),1))</x:f>
        <x:v>45839</x:v>
      </x:c>
    </x:row>
    <x:row r="3">
      <x:c r="A3" s="16" t="str">
        <x:v>HG-01002</x:v>
      </x:c>
      <x:c r="B3" s="16" t="str">
        <x:v>Shakil Begum</x:v>
      </x:c>
      <x:c r="C3" s="16" t="str">
        <x:v>Male</x:v>
      </x:c>
      <x:c r="D3" s="16" t="str">
        <x:v>Production</x:v>
      </x:c>
      <x:c r="E3" s="16" t="str">
        <x:v>Production Operator</x:v>
      </x:c>
      <x:c r="F3" s="16" t="str">
        <x:v>Gazipur Plant</x:v>
      </x:c>
      <x:c r="G3" s="16" t="str">
        <x:v>Probation</x:v>
      </x:c>
      <x:c r="H3" s="35" t="n">
        <x:v>44450</x:v>
      </x:c>
      <x:c r="I3" s="35"/>
      <x:c r="J3" s="16" t="str"/>
      <x:c r="K3" s="16" t="str">
        <x:f>IF(I3="","Active","Exited")</x:f>
        <x:v>Active</x:v>
      </x:c>
      <x:c r="L3" s="16" t="n">
        <x:f>(YEAR(IF(I3="",TODAY(),I3))-YEAR(H3))*12+MONTH(IF(I3="",TODAY(),I3))-MONTH(H3)</x:f>
        <x:v>58</x:v>
      </x:c>
      <x:c r="M3" s="36" t="n">
        <x:f>DATE(YEAR(H3),MONTH(H3),1)</x:f>
        <x:v>44440</x:v>
      </x:c>
      <x:c r="N3" s="36" t="str">
        <x:f>IF(I3="","",DATE(YEAR(I3),MONTH(I3),1))</x:f>
      </x:c>
    </x:row>
    <x:row r="4">
      <x:c r="A4" s="16" t="str">
        <x:v>HG-01003</x:v>
      </x:c>
      <x:c r="B4" s="16" t="str">
        <x:v>Mizan Ahmed</x:v>
      </x:c>
      <x:c r="C4" s="16" t="str">
        <x:v>Male</x:v>
      </x:c>
      <x:c r="D4" s="16" t="str">
        <x:v>Information Technology</x:v>
      </x:c>
      <x:c r="E4" s="16" t="str">
        <x:v>Software Executive</x:v>
      </x:c>
      <x:c r="F4" s="16" t="str">
        <x:v>Gazipur Plant</x:v>
      </x:c>
      <x:c r="G4" s="16" t="str">
        <x:v>Permanent</x:v>
      </x:c>
      <x:c r="H4" s="35" t="n">
        <x:v>43394</x:v>
      </x:c>
      <x:c r="I4" s="35" t="n">
        <x:v>45714</x:v>
      </x:c>
      <x:c r="J4" s="16" t="str">
        <x:v>Career Growth</x:v>
      </x:c>
      <x:c r="K4" s="16" t="str">
        <x:f>IF(I4="","Active","Exited")</x:f>
        <x:v>Exited</x:v>
      </x:c>
      <x:c r="L4" s="16" t="n">
        <x:f>(YEAR(IF(I4="",TODAY(),I4))-YEAR(H4))*12+MONTH(IF(I4="",TODAY(),I4))-MONTH(H4)</x:f>
        <x:v>76</x:v>
      </x:c>
      <x:c r="M4" s="36" t="n">
        <x:f>DATE(YEAR(H4),MONTH(H4),1)</x:f>
        <x:v>43374</x:v>
      </x:c>
      <x:c r="N4" s="36" t="n">
        <x:f>IF(I4="","",DATE(YEAR(I4),MONTH(I4),1))</x:f>
        <x:v>45689</x:v>
      </x:c>
    </x:row>
    <x:row r="5">
      <x:c r="A5" s="16" t="str">
        <x:v>HG-01004</x:v>
      </x:c>
      <x:c r="B5" s="16" t="str">
        <x:v>Shakil Hossain</x:v>
      </x:c>
      <x:c r="C5" s="16" t="str">
        <x:v>Male</x:v>
      </x:c>
      <x:c r="D5" s="16" t="str">
        <x:v>Administration</x:v>
      </x:c>
      <x:c r="E5" s="16" t="str">
        <x:v>Admin Assistant</x:v>
      </x:c>
      <x:c r="F5" s="16" t="str">
        <x:v>Dhaka Head Office</x:v>
      </x:c>
      <x:c r="G5" s="16" t="str">
        <x:v>Permanent</x:v>
      </x:c>
      <x:c r="H5" s="35" t="n">
        <x:v>44745</x:v>
      </x:c>
      <x:c r="I5" s="35"/>
      <x:c r="J5" s="16" t="str"/>
      <x:c r="K5" s="16" t="str">
        <x:f>IF(I5="","Active","Exited")</x:f>
        <x:v>Active</x:v>
      </x:c>
      <x:c r="L5" s="16" t="n">
        <x:f>(YEAR(IF(I5="",TODAY(),I5))-YEAR(H5))*12+MONTH(IF(I5="",TODAY(),I5))-MONTH(H5)</x:f>
        <x:v>48</x:v>
      </x:c>
      <x:c r="M5" s="36" t="n">
        <x:f>DATE(YEAR(H5),MONTH(H5),1)</x:f>
        <x:v>44743</x:v>
      </x:c>
      <x:c r="N5" s="36" t="str">
        <x:f>IF(I5="","",DATE(YEAR(I5),MONTH(I5),1))</x:f>
      </x:c>
    </x:row>
    <x:row r="6">
      <x:c r="A6" s="16" t="str">
        <x:v>HG-01005</x:v>
      </x:c>
      <x:c r="B6" s="16" t="str">
        <x:v>Fahim Alam</x:v>
      </x:c>
      <x:c r="C6" s="16" t="str">
        <x:v>Male</x:v>
      </x:c>
      <x:c r="D6" s="16" t="str">
        <x:v>Human Resources</x:v>
      </x:c>
      <x:c r="E6" s="16" t="str">
        <x:v>HR Business Executive</x:v>
      </x:c>
      <x:c r="F6" s="16" t="str">
        <x:v>Dhaka Head Office</x:v>
      </x:c>
      <x:c r="G6" s="16" t="str">
        <x:v>Permanent</x:v>
      </x:c>
      <x:c r="H6" s="35" t="n">
        <x:v>44483</x:v>
      </x:c>
      <x:c r="I6" s="35"/>
      <x:c r="J6" s="16" t="str"/>
      <x:c r="K6" s="16" t="str">
        <x:f>IF(I6="","Active","Exited")</x:f>
        <x:v>Active</x:v>
      </x:c>
      <x:c r="L6" s="16" t="n">
        <x:f>(YEAR(IF(I6="",TODAY(),I6))-YEAR(H6))*12+MONTH(IF(I6="",TODAY(),I6))-MONTH(H6)</x:f>
        <x:v>57</x:v>
      </x:c>
      <x:c r="M6" s="36" t="n">
        <x:f>DATE(YEAR(H6),MONTH(H6),1)</x:f>
        <x:v>44470</x:v>
      </x:c>
      <x:c r="N6" s="36" t="str">
        <x:f>IF(I6="","",DATE(YEAR(I6),MONTH(I6),1))</x:f>
      </x:c>
    </x:row>
    <x:row r="7">
      <x:c r="A7" s="16" t="str">
        <x:v>HG-01006</x:v>
      </x:c>
      <x:c r="B7" s="16" t="str">
        <x:v>Foysal Alam</x:v>
      </x:c>
      <x:c r="C7" s="16" t="str">
        <x:v>Male</x:v>
      </x:c>
      <x:c r="D7" s="16" t="str">
        <x:v>Supply Chain</x:v>
      </x:c>
      <x:c r="E7" s="16" t="str">
        <x:v>Logistics Executive</x:v>
      </x:c>
      <x:c r="F7" s="16" t="str">
        <x:v>Gazipur Plant</x:v>
      </x:c>
      <x:c r="G7" s="16" t="str">
        <x:v>Permanent</x:v>
      </x:c>
      <x:c r="H7" s="35" t="n">
        <x:v>44014</x:v>
      </x:c>
      <x:c r="I7" s="35"/>
      <x:c r="J7" s="16" t="str"/>
      <x:c r="K7" s="16" t="str">
        <x:f>IF(I7="","Active","Exited")</x:f>
        <x:v>Active</x:v>
      </x:c>
      <x:c r="L7" s="16" t="n">
        <x:f>(YEAR(IF(I7="",TODAY(),I7))-YEAR(H7))*12+MONTH(IF(I7="",TODAY(),I7))-MONTH(H7)</x:f>
        <x:v>72</x:v>
      </x:c>
      <x:c r="M7" s="36" t="n">
        <x:f>DATE(YEAR(H7),MONTH(H7),1)</x:f>
        <x:v>44013</x:v>
      </x:c>
      <x:c r="N7" s="36" t="str">
        <x:f>IF(I7="","",DATE(YEAR(I7),MONTH(I7),1))</x:f>
      </x:c>
    </x:row>
    <x:row r="8">
      <x:c r="A8" s="16" t="str">
        <x:v>HG-01007</x:v>
      </x:c>
      <x:c r="B8" s="16" t="str">
        <x:v>Rashed Hossain</x:v>
      </x:c>
      <x:c r="C8" s="16" t="str">
        <x:v>Male</x:v>
      </x:c>
      <x:c r="D8" s="16" t="str">
        <x:v>Production</x:v>
      </x:c>
      <x:c r="E8" s="16" t="str">
        <x:v>Senior Operator</x:v>
      </x:c>
      <x:c r="F8" s="16" t="str">
        <x:v>Gazipur Plant</x:v>
      </x:c>
      <x:c r="G8" s="16" t="str">
        <x:v>Permanent</x:v>
      </x:c>
      <x:c r="H8" s="35" t="n">
        <x:v>44979</x:v>
      </x:c>
      <x:c r="I8" s="35"/>
      <x:c r="J8" s="16" t="str"/>
      <x:c r="K8" s="16" t="str">
        <x:f>IF(I8="","Active","Exited")</x:f>
        <x:v>Active</x:v>
      </x:c>
      <x:c r="L8" s="16" t="n">
        <x:f>(YEAR(IF(I8="",TODAY(),I8))-YEAR(H8))*12+MONTH(IF(I8="",TODAY(),I8))-MONTH(H8)</x:f>
        <x:v>41</x:v>
      </x:c>
      <x:c r="M8" s="36" t="n">
        <x:f>DATE(YEAR(H8),MONTH(H8),1)</x:f>
        <x:v>44958</x:v>
      </x:c>
      <x:c r="N8" s="36" t="str">
        <x:f>IF(I8="","",DATE(YEAR(I8),MONTH(I8),1))</x:f>
      </x:c>
    </x:row>
    <x:row r="9">
      <x:c r="A9" s="16" t="str">
        <x:v>HG-01008</x:v>
      </x:c>
      <x:c r="B9" s="16" t="str">
        <x:v>Farzana Karim</x:v>
      </x:c>
      <x:c r="C9" s="16" t="str">
        <x:v>Female</x:v>
      </x:c>
      <x:c r="D9" s="16" t="str">
        <x:v>Production</x:v>
      </x:c>
      <x:c r="E9" s="16" t="str">
        <x:v>Senior Operator</x:v>
      </x:c>
      <x:c r="F9" s="16" t="str">
        <x:v>Gazipur Plant</x:v>
      </x:c>
      <x:c r="G9" s="16" t="str">
        <x:v>Permanent</x:v>
      </x:c>
      <x:c r="H9" s="35" t="n">
        <x:v>45563</x:v>
      </x:c>
      <x:c r="I9" s="35"/>
      <x:c r="J9" s="16" t="str"/>
      <x:c r="K9" s="16" t="str">
        <x:f>IF(I9="","Active","Exited")</x:f>
        <x:v>Active</x:v>
      </x:c>
      <x:c r="L9" s="16" t="n">
        <x:f>(YEAR(IF(I9="",TODAY(),I9))-YEAR(H9))*12+MONTH(IF(I9="",TODAY(),I9))-MONTH(H9)</x:f>
        <x:v>22</x:v>
      </x:c>
      <x:c r="M9" s="36" t="n">
        <x:f>DATE(YEAR(H9),MONTH(H9),1)</x:f>
        <x:v>45536</x:v>
      </x:c>
      <x:c r="N9" s="36" t="str">
        <x:f>IF(I9="","",DATE(YEAR(I9),MONTH(I9),1))</x:f>
      </x:c>
    </x:row>
    <x:row r="10">
      <x:c r="A10" s="16" t="str">
        <x:v>HG-01009</x:v>
      </x:c>
      <x:c r="B10" s="16" t="str">
        <x:v>Mizan Akter</x:v>
      </x:c>
      <x:c r="C10" s="16" t="str">
        <x:v>Male</x:v>
      </x:c>
      <x:c r="D10" s="16" t="str">
        <x:v>Finance &amp; Accounts</x:v>
      </x:c>
      <x:c r="E10" s="16" t="str">
        <x:v>Finance Officer</x:v>
      </x:c>
      <x:c r="F10" s="16" t="str">
        <x:v>Dhaka Head Office</x:v>
      </x:c>
      <x:c r="G10" s="16" t="str">
        <x:v>Permanent</x:v>
      </x:c>
      <x:c r="H10" s="35" t="n">
        <x:v>44082</x:v>
      </x:c>
      <x:c r="I10" s="35"/>
      <x:c r="J10" s="16" t="str"/>
      <x:c r="K10" s="16" t="str">
        <x:f>IF(I10="","Active","Exited")</x:f>
        <x:v>Active</x:v>
      </x:c>
      <x:c r="L10" s="16" t="n">
        <x:f>(YEAR(IF(I10="",TODAY(),I10))-YEAR(H10))*12+MONTH(IF(I10="",TODAY(),I10))-MONTH(H10)</x:f>
        <x:v>70</x:v>
      </x:c>
      <x:c r="M10" s="36" t="n">
        <x:f>DATE(YEAR(H10),MONTH(H10),1)</x:f>
        <x:v>44075</x:v>
      </x:c>
      <x:c r="N10" s="36" t="str">
        <x:f>IF(I10="","",DATE(YEAR(I10),MONTH(I10),1))</x:f>
      </x:c>
    </x:row>
    <x:row r="11">
      <x:c r="A11" s="16" t="str">
        <x:v>HG-01010</x:v>
      </x:c>
      <x:c r="B11" s="16" t="str">
        <x:v>Rafi Hossain</x:v>
      </x:c>
      <x:c r="C11" s="16" t="str">
        <x:v>Male</x:v>
      </x:c>
      <x:c r="D11" s="16" t="str">
        <x:v>Production</x:v>
      </x:c>
      <x:c r="E11" s="16" t="str">
        <x:v>Production Operator</x:v>
      </x:c>
      <x:c r="F11" s="16" t="str">
        <x:v>Gazipur Plant</x:v>
      </x:c>
      <x:c r="G11" s="16" t="str">
        <x:v>Permanent</x:v>
      </x:c>
      <x:c r="H11" s="35" t="n">
        <x:v>43747</x:v>
      </x:c>
      <x:c r="I11" s="35"/>
      <x:c r="J11" s="16" t="str"/>
      <x:c r="K11" s="16" t="str">
        <x:f>IF(I11="","Active","Exited")</x:f>
        <x:v>Active</x:v>
      </x:c>
      <x:c r="L11" s="16" t="n">
        <x:f>(YEAR(IF(I11="",TODAY(),I11))-YEAR(H11))*12+MONTH(IF(I11="",TODAY(),I11))-MONTH(H11)</x:f>
        <x:v>81</x:v>
      </x:c>
      <x:c r="M11" s="36" t="n">
        <x:f>DATE(YEAR(H11),MONTH(H11),1)</x:f>
        <x:v>43739</x:v>
      </x:c>
      <x:c r="N11" s="36" t="str">
        <x:f>IF(I11="","",DATE(YEAR(I11),MONTH(I11),1))</x:f>
      </x:c>
    </x:row>
    <x:row r="12">
      <x:c r="A12" s="16" t="str">
        <x:v>HG-01011</x:v>
      </x:c>
      <x:c r="B12" s="16" t="str">
        <x:v>Nazmul Alam</x:v>
      </x:c>
      <x:c r="C12" s="16" t="str">
        <x:v>Male</x:v>
      </x:c>
      <x:c r="D12" s="16" t="str">
        <x:v>Production</x:v>
      </x:c>
      <x:c r="E12" s="16" t="str">
        <x:v>Assistant Manager - Production</x:v>
      </x:c>
      <x:c r="F12" s="16" t="str">
        <x:v>Gazipur Plant</x:v>
      </x:c>
      <x:c r="G12" s="16" t="str">
        <x:v>Permanent</x:v>
      </x:c>
      <x:c r="H12" s="35" t="n">
        <x:v>44737</x:v>
      </x:c>
      <x:c r="I12" s="35"/>
      <x:c r="J12" s="16" t="str"/>
      <x:c r="K12" s="16" t="str">
        <x:f>IF(I12="","Active","Exited")</x:f>
        <x:v>Active</x:v>
      </x:c>
      <x:c r="L12" s="16" t="n">
        <x:f>(YEAR(IF(I12="",TODAY(),I12))-YEAR(H12))*12+MONTH(IF(I12="",TODAY(),I12))-MONTH(H12)</x:f>
        <x:v>49</x:v>
      </x:c>
      <x:c r="M12" s="36" t="n">
        <x:f>DATE(YEAR(H12),MONTH(H12),1)</x:f>
        <x:v>44713</x:v>
      </x:c>
      <x:c r="N12" s="36" t="str">
        <x:f>IF(I12="","",DATE(YEAR(I12),MONTH(I12),1))</x:f>
      </x:c>
    </x:row>
    <x:row r="13">
      <x:c r="A13" s="16" t="str">
        <x:v>HG-01012</x:v>
      </x:c>
      <x:c r="B13" s="16" t="str">
        <x:v>Foysal Kabir</x:v>
      </x:c>
      <x:c r="C13" s="16" t="str">
        <x:v>Male</x:v>
      </x:c>
      <x:c r="D13" s="16" t="str">
        <x:v>Administration</x:v>
      </x:c>
      <x:c r="E13" s="16" t="str">
        <x:v>Assistant Manager - Admin</x:v>
      </x:c>
      <x:c r="F13" s="16" t="str">
        <x:v>Dhaka Head Office</x:v>
      </x:c>
      <x:c r="G13" s="16" t="str">
        <x:v>Contract</x:v>
      </x:c>
      <x:c r="H13" s="35" t="n">
        <x:v>44153</x:v>
      </x:c>
      <x:c r="I13" s="35"/>
      <x:c r="J13" s="16" t="str"/>
      <x:c r="K13" s="16" t="str">
        <x:f>IF(I13="","Active","Exited")</x:f>
        <x:v>Active</x:v>
      </x:c>
      <x:c r="L13" s="16" t="n">
        <x:f>(YEAR(IF(I13="",TODAY(),I13))-YEAR(H13))*12+MONTH(IF(I13="",TODAY(),I13))-MONTH(H13)</x:f>
        <x:v>68</x:v>
      </x:c>
      <x:c r="M13" s="36" t="n">
        <x:f>DATE(YEAR(H13),MONTH(H13),1)</x:f>
        <x:v>44136</x:v>
      </x:c>
      <x:c r="N13" s="36" t="str">
        <x:f>IF(I13="","",DATE(YEAR(I13),MONTH(I13),1))</x:f>
      </x:c>
    </x:row>
    <x:row r="14">
      <x:c r="A14" s="16" t="str">
        <x:v>HG-01013</x:v>
      </x:c>
      <x:c r="B14" s="16" t="str">
        <x:v>Imran Ahmed</x:v>
      </x:c>
      <x:c r="C14" s="16" t="str">
        <x:v>Male</x:v>
      </x:c>
      <x:c r="D14" s="16" t="str">
        <x:v>Production</x:v>
      </x:c>
      <x:c r="E14" s="16" t="str">
        <x:v>Line Supervisor</x:v>
      </x:c>
      <x:c r="F14" s="16" t="str">
        <x:v>Gazipur Plant</x:v>
      </x:c>
      <x:c r="G14" s="16" t="str">
        <x:v>Permanent</x:v>
      </x:c>
      <x:c r="H14" s="35" t="n">
        <x:v>45421</x:v>
      </x:c>
      <x:c r="I14" s="35"/>
      <x:c r="J14" s="16" t="str"/>
      <x:c r="K14" s="16" t="str">
        <x:f>IF(I14="","Active","Exited")</x:f>
        <x:v>Active</x:v>
      </x:c>
      <x:c r="L14" s="16" t="n">
        <x:f>(YEAR(IF(I14="",TODAY(),I14))-YEAR(H14))*12+MONTH(IF(I14="",TODAY(),I14))-MONTH(H14)</x:f>
        <x:v>26</x:v>
      </x:c>
      <x:c r="M14" s="36" t="n">
        <x:f>DATE(YEAR(H14),MONTH(H14),1)</x:f>
        <x:v>45413</x:v>
      </x:c>
      <x:c r="N14" s="36" t="str">
        <x:f>IF(I14="","",DATE(YEAR(I14),MONTH(I14),1))</x:f>
      </x:c>
    </x:row>
    <x:row r="15">
      <x:c r="A15" s="16" t="str">
        <x:v>HG-01014</x:v>
      </x:c>
      <x:c r="B15" s="16" t="str">
        <x:v>Hasan Ahmed</x:v>
      </x:c>
      <x:c r="C15" s="16" t="str">
        <x:v>Male</x:v>
      </x:c>
      <x:c r="D15" s="16" t="str">
        <x:v>Finance &amp; Accounts</x:v>
      </x:c>
      <x:c r="E15" s="16" t="str">
        <x:v>Senior Accounts Executive</x:v>
      </x:c>
      <x:c r="F15" s="16" t="str">
        <x:v>Dhaka Head Office</x:v>
      </x:c>
      <x:c r="G15" s="16" t="str">
        <x:v>Permanent</x:v>
      </x:c>
      <x:c r="H15" s="35" t="n">
        <x:v>43750</x:v>
      </x:c>
      <x:c r="I15" s="35"/>
      <x:c r="J15" s="16" t="str"/>
      <x:c r="K15" s="16" t="str">
        <x:f>IF(I15="","Active","Exited")</x:f>
        <x:v>Active</x:v>
      </x:c>
      <x:c r="L15" s="16" t="n">
        <x:f>(YEAR(IF(I15="",TODAY(),I15))-YEAR(H15))*12+MONTH(IF(I15="",TODAY(),I15))-MONTH(H15)</x:f>
        <x:v>81</x:v>
      </x:c>
      <x:c r="M15" s="36" t="n">
        <x:f>DATE(YEAR(H15),MONTH(H15),1)</x:f>
        <x:v>43739</x:v>
      </x:c>
      <x:c r="N15" s="36" t="str">
        <x:f>IF(I15="","",DATE(YEAR(I15),MONTH(I15),1))</x:f>
      </x:c>
    </x:row>
    <x:row r="16">
      <x:c r="A16" s="16" t="str">
        <x:v>HG-01015</x:v>
      </x:c>
      <x:c r="B16" s="16" t="str">
        <x:v>Rashed Kabir</x:v>
      </x:c>
      <x:c r="C16" s="16" t="str">
        <x:v>Male</x:v>
      </x:c>
      <x:c r="D16" s="16" t="str">
        <x:v>Production</x:v>
      </x:c>
      <x:c r="E16" s="16" t="str">
        <x:v>Production Officer</x:v>
      </x:c>
      <x:c r="F16" s="16" t="str">
        <x:v>Narayanganj Plant</x:v>
      </x:c>
      <x:c r="G16" s="16" t="str">
        <x:v>Contract</x:v>
      </x:c>
      <x:c r="H16" s="35" t="n">
        <x:v>45437</x:v>
      </x:c>
      <x:c r="I16" s="35"/>
      <x:c r="J16" s="16" t="str"/>
      <x:c r="K16" s="16" t="str">
        <x:f>IF(I16="","Active","Exited")</x:f>
        <x:v>Active</x:v>
      </x:c>
      <x:c r="L16" s="16" t="n">
        <x:f>(YEAR(IF(I16="",TODAY(),I16))-YEAR(H16))*12+MONTH(IF(I16="",TODAY(),I16))-MONTH(H16)</x:f>
        <x:v>26</x:v>
      </x:c>
      <x:c r="M16" s="36" t="n">
        <x:f>DATE(YEAR(H16),MONTH(H16),1)</x:f>
        <x:v>45413</x:v>
      </x:c>
      <x:c r="N16" s="36" t="str">
        <x:f>IF(I16="","",DATE(YEAR(I16),MONTH(I16),1))</x:f>
      </x:c>
    </x:row>
    <x:row r="17">
      <x:c r="A17" s="16" t="str">
        <x:v>HG-01016</x:v>
      </x:c>
      <x:c r="B17" s="16" t="str">
        <x:v>Foysal Begum</x:v>
      </x:c>
      <x:c r="C17" s="16" t="str">
        <x:v>Male</x:v>
      </x:c>
      <x:c r="D17" s="16" t="str">
        <x:v>Production</x:v>
      </x:c>
      <x:c r="E17" s="16" t="str">
        <x:v>Line Supervisor</x:v>
      </x:c>
      <x:c r="F17" s="16" t="str">
        <x:v>Chattogram Office</x:v>
      </x:c>
      <x:c r="G17" s="16" t="str">
        <x:v>Contract</x:v>
      </x:c>
      <x:c r="H17" s="35" t="n">
        <x:v>43245</x:v>
      </x:c>
      <x:c r="I17" s="35"/>
      <x:c r="J17" s="16" t="str"/>
      <x:c r="K17" s="16" t="str">
        <x:f>IF(I17="","Active","Exited")</x:f>
        <x:v>Active</x:v>
      </x:c>
      <x:c r="L17" s="16" t="n">
        <x:f>(YEAR(IF(I17="",TODAY(),I17))-YEAR(H17))*12+MONTH(IF(I17="",TODAY(),I17))-MONTH(H17)</x:f>
        <x:v>98</x:v>
      </x:c>
      <x:c r="M17" s="36" t="n">
        <x:f>DATE(YEAR(H17),MONTH(H17),1)</x:f>
        <x:v>43221</x:v>
      </x:c>
      <x:c r="N17" s="36" t="str">
        <x:f>IF(I17="","",DATE(YEAR(I17),MONTH(I17),1))</x:f>
      </x:c>
    </x:row>
    <x:row r="18">
      <x:c r="A18" s="16" t="str">
        <x:v>HG-01017</x:v>
      </x:c>
      <x:c r="B18" s="16" t="str">
        <x:v>Sajid Kabir</x:v>
      </x:c>
      <x:c r="C18" s="16" t="str">
        <x:v>Male</x:v>
      </x:c>
      <x:c r="D18" s="16" t="str">
        <x:v>Supply Chain</x:v>
      </x:c>
      <x:c r="E18" s="16" t="str">
        <x:v>Senior Supply Chain Executive</x:v>
      </x:c>
      <x:c r="F18" s="16" t="str">
        <x:v>Narayanganj Plant</x:v>
      </x:c>
      <x:c r="G18" s="16" t="str">
        <x:v>Permanent</x:v>
      </x:c>
      <x:c r="H18" s="35" t="n">
        <x:v>44570</x:v>
      </x:c>
      <x:c r="I18" s="35"/>
      <x:c r="J18" s="16" t="str"/>
      <x:c r="K18" s="16" t="str">
        <x:f>IF(I18="","Active","Exited")</x:f>
        <x:v>Active</x:v>
      </x:c>
      <x:c r="L18" s="16" t="n">
        <x:f>(YEAR(IF(I18="",TODAY(),I18))-YEAR(H18))*12+MONTH(IF(I18="",TODAY(),I18))-MONTH(H18)</x:f>
        <x:v>54</x:v>
      </x:c>
      <x:c r="M18" s="36" t="n">
        <x:f>DATE(YEAR(H18),MONTH(H18),1)</x:f>
        <x:v>44562</x:v>
      </x:c>
      <x:c r="N18" s="36" t="str">
        <x:f>IF(I18="","",DATE(YEAR(I18),MONTH(I18),1))</x:f>
      </x:c>
    </x:row>
    <x:row r="19">
      <x:c r="A19" s="16" t="str">
        <x:v>HG-01018</x:v>
      </x:c>
      <x:c r="B19" s="16" t="str">
        <x:v>Asif Kabir</x:v>
      </x:c>
      <x:c r="C19" s="16" t="str">
        <x:v>Male</x:v>
      </x:c>
      <x:c r="D19" s="16" t="str">
        <x:v>Administration</x:v>
      </x:c>
      <x:c r="E19" s="16" t="str">
        <x:v>Admin Assistant</x:v>
      </x:c>
      <x:c r="F19" s="16" t="str">
        <x:v>Dhaka Head Office</x:v>
      </x:c>
      <x:c r="G19" s="16" t="str">
        <x:v>Contract</x:v>
      </x:c>
      <x:c r="H19" s="35" t="n">
        <x:v>43704</x:v>
      </x:c>
      <x:c r="I19" s="35"/>
      <x:c r="J19" s="16" t="str"/>
      <x:c r="K19" s="16" t="str">
        <x:f>IF(I19="","Active","Exited")</x:f>
        <x:v>Active</x:v>
      </x:c>
      <x:c r="L19" s="16" t="n">
        <x:f>(YEAR(IF(I19="",TODAY(),I19))-YEAR(H19))*12+MONTH(IF(I19="",TODAY(),I19))-MONTH(H19)</x:f>
        <x:v>83</x:v>
      </x:c>
      <x:c r="M19" s="36" t="n">
        <x:f>DATE(YEAR(H19),MONTH(H19),1)</x:f>
        <x:v>43678</x:v>
      </x:c>
      <x:c r="N19" s="36" t="str">
        <x:f>IF(I19="","",DATE(YEAR(I19),MONTH(I19),1))</x:f>
      </x:c>
    </x:row>
    <x:row r="20">
      <x:c r="A20" s="16" t="str">
        <x:v>HG-01019</x:v>
      </x:c>
      <x:c r="B20" s="16" t="str">
        <x:v>Maliha Islam</x:v>
      </x:c>
      <x:c r="C20" s="16" t="str">
        <x:v>Female</x:v>
      </x:c>
      <x:c r="D20" s="16" t="str">
        <x:v>Production</x:v>
      </x:c>
      <x:c r="E20" s="16" t="str">
        <x:v>Assistant Manager - Production</x:v>
      </x:c>
      <x:c r="F20" s="16" t="str">
        <x:v>Chattogram Office</x:v>
      </x:c>
      <x:c r="G20" s="16" t="str">
        <x:v>Permanent</x:v>
      </x:c>
      <x:c r="H20" s="35" t="n">
        <x:v>45074</x:v>
      </x:c>
      <x:c r="I20" s="35"/>
      <x:c r="J20" s="16" t="str"/>
      <x:c r="K20" s="16" t="str">
        <x:f>IF(I20="","Active","Exited")</x:f>
        <x:v>Active</x:v>
      </x:c>
      <x:c r="L20" s="16" t="n">
        <x:f>(YEAR(IF(I20="",TODAY(),I20))-YEAR(H20))*12+MONTH(IF(I20="",TODAY(),I20))-MONTH(H20)</x:f>
        <x:v>38</x:v>
      </x:c>
      <x:c r="M20" s="36" t="n">
        <x:f>DATE(YEAR(H20),MONTH(H20),1)</x:f>
        <x:v>45047</x:v>
      </x:c>
      <x:c r="N20" s="36" t="str">
        <x:f>IF(I20="","",DATE(YEAR(I20),MONTH(I20),1))</x:f>
      </x:c>
    </x:row>
    <x:row r="21">
      <x:c r="A21" s="16" t="str">
        <x:v>HG-01020</x:v>
      </x:c>
      <x:c r="B21" s="16" t="str">
        <x:v>Sumaiya Sarker</x:v>
      </x:c>
      <x:c r="C21" s="16" t="str">
        <x:v>Female</x:v>
      </x:c>
      <x:c r="D21" s="16" t="str">
        <x:v>Information Technology</x:v>
      </x:c>
      <x:c r="E21" s="16" t="str">
        <x:v>IT Support Executive</x:v>
      </x:c>
      <x:c r="F21" s="16" t="str">
        <x:v>Dhaka Head Office</x:v>
      </x:c>
      <x:c r="G21" s="16" t="str">
        <x:v>Permanent</x:v>
      </x:c>
      <x:c r="H21" s="35" t="n">
        <x:v>44135</x:v>
      </x:c>
      <x:c r="I21" s="35"/>
      <x:c r="J21" s="16" t="str"/>
      <x:c r="K21" s="16" t="str">
        <x:f>IF(I21="","Active","Exited")</x:f>
        <x:v>Active</x:v>
      </x:c>
      <x:c r="L21" s="16" t="n">
        <x:f>(YEAR(IF(I21="",TODAY(),I21))-YEAR(H21))*12+MONTH(IF(I21="",TODAY(),I21))-MONTH(H21)</x:f>
        <x:v>69</x:v>
      </x:c>
      <x:c r="M21" s="36" t="n">
        <x:f>DATE(YEAR(H21),MONTH(H21),1)</x:f>
        <x:v>44105</x:v>
      </x:c>
      <x:c r="N21" s="36" t="str">
        <x:f>IF(I21="","",DATE(YEAR(I21),MONTH(I21),1))</x:f>
      </x:c>
    </x:row>
    <x:row r="22">
      <x:c r="A22" s="16" t="str">
        <x:v>HG-01021</x:v>
      </x:c>
      <x:c r="B22" s="16" t="str">
        <x:v>Rumana Miah</x:v>
      </x:c>
      <x:c r="C22" s="16" t="str">
        <x:v>Female</x:v>
      </x:c>
      <x:c r="D22" s="16" t="str">
        <x:v>Supply Chain</x:v>
      </x:c>
      <x:c r="E22" s="16" t="str">
        <x:v>Inventory Officer</x:v>
      </x:c>
      <x:c r="F22" s="16" t="str">
        <x:v>Gazipur Plant</x:v>
      </x:c>
      <x:c r="G22" s="16" t="str">
        <x:v>Permanent</x:v>
      </x:c>
      <x:c r="H22" s="35" t="n">
        <x:v>44434</x:v>
      </x:c>
      <x:c r="I22" s="35"/>
      <x:c r="J22" s="16" t="str"/>
      <x:c r="K22" s="16" t="str">
        <x:f>IF(I22="","Active","Exited")</x:f>
        <x:v>Active</x:v>
      </x:c>
      <x:c r="L22" s="16" t="n">
        <x:f>(YEAR(IF(I22="",TODAY(),I22))-YEAR(H22))*12+MONTH(IF(I22="",TODAY(),I22))-MONTH(H22)</x:f>
        <x:v>59</x:v>
      </x:c>
      <x:c r="M22" s="36" t="n">
        <x:f>DATE(YEAR(H22),MONTH(H22),1)</x:f>
        <x:v>44409</x:v>
      </x:c>
      <x:c r="N22" s="36" t="str">
        <x:f>IF(I22="","",DATE(YEAR(I22),MONTH(I22),1))</x:f>
      </x:c>
    </x:row>
    <x:row r="23">
      <x:c r="A23" s="16" t="str">
        <x:v>HG-01022</x:v>
      </x:c>
      <x:c r="B23" s="16" t="str">
        <x:v>Rashed Hossain</x:v>
      </x:c>
      <x:c r="C23" s="16" t="str">
        <x:v>Male</x:v>
      </x:c>
      <x:c r="D23" s="16" t="str">
        <x:v>Sales &amp; Marketing</x:v>
      </x:c>
      <x:c r="E23" s="16" t="str">
        <x:v>Sales Executive</x:v>
      </x:c>
      <x:c r="F23" s="16" t="str">
        <x:v>Dhaka Head Office</x:v>
      </x:c>
      <x:c r="G23" s="16" t="str">
        <x:v>Permanent</x:v>
      </x:c>
      <x:c r="H23" s="35" t="n">
        <x:v>44021</x:v>
      </x:c>
      <x:c r="I23" s="35"/>
      <x:c r="J23" s="16" t="str"/>
      <x:c r="K23" s="16" t="str">
        <x:f>IF(I23="","Active","Exited")</x:f>
        <x:v>Active</x:v>
      </x:c>
      <x:c r="L23" s="16" t="n">
        <x:f>(YEAR(IF(I23="",TODAY(),I23))-YEAR(H23))*12+MONTH(IF(I23="",TODAY(),I23))-MONTH(H23)</x:f>
        <x:v>72</x:v>
      </x:c>
      <x:c r="M23" s="36" t="n">
        <x:f>DATE(YEAR(H23),MONTH(H23),1)</x:f>
        <x:v>44013</x:v>
      </x:c>
      <x:c r="N23" s="36" t="str">
        <x:f>IF(I23="","",DATE(YEAR(I23),MONTH(I23),1))</x:f>
      </x:c>
    </x:row>
    <x:row r="24">
      <x:c r="A24" s="16" t="str">
        <x:v>HG-01023</x:v>
      </x:c>
      <x:c r="B24" s="16" t="str">
        <x:v>Rumana Miah</x:v>
      </x:c>
      <x:c r="C24" s="16" t="str">
        <x:v>Female</x:v>
      </x:c>
      <x:c r="D24" s="16" t="str">
        <x:v>Human Resources</x:v>
      </x:c>
      <x:c r="E24" s="16" t="str">
        <x:v>HR Business Executive</x:v>
      </x:c>
      <x:c r="F24" s="16" t="str">
        <x:v>Dhaka Head Office</x:v>
      </x:c>
      <x:c r="G24" s="16" t="str">
        <x:v>Contract</x:v>
      </x:c>
      <x:c r="H24" s="35" t="n">
        <x:v>42801</x:v>
      </x:c>
      <x:c r="I24" s="35"/>
      <x:c r="J24" s="16" t="str"/>
      <x:c r="K24" s="16" t="str">
        <x:f>IF(I24="","Active","Exited")</x:f>
        <x:v>Active</x:v>
      </x:c>
      <x:c r="L24" s="16" t="n">
        <x:f>(YEAR(IF(I24="",TODAY(),I24))-YEAR(H24))*12+MONTH(IF(I24="",TODAY(),I24))-MONTH(H24)</x:f>
        <x:v>112</x:v>
      </x:c>
      <x:c r="M24" s="36" t="n">
        <x:f>DATE(YEAR(H24),MONTH(H24),1)</x:f>
        <x:v>42795</x:v>
      </x:c>
      <x:c r="N24" s="36" t="str">
        <x:f>IF(I24="","",DATE(YEAR(I24),MONTH(I24),1))</x:f>
      </x:c>
    </x:row>
    <x:row r="25">
      <x:c r="A25" s="16" t="str">
        <x:v>HG-01024</x:v>
      </x:c>
      <x:c r="B25" s="16" t="str">
        <x:v>Nazmul Khan</x:v>
      </x:c>
      <x:c r="C25" s="16" t="str">
        <x:v>Male</x:v>
      </x:c>
      <x:c r="D25" s="16" t="str">
        <x:v>Production</x:v>
      </x:c>
      <x:c r="E25" s="16" t="str">
        <x:v>Production Operator</x:v>
      </x:c>
      <x:c r="F25" s="16" t="str">
        <x:v>Gazipur Plant</x:v>
      </x:c>
      <x:c r="G25" s="16" t="str">
        <x:v>Permanent</x:v>
      </x:c>
      <x:c r="H25" s="35" t="n">
        <x:v>43918</x:v>
      </x:c>
      <x:c r="I25" s="35"/>
      <x:c r="J25" s="16" t="str"/>
      <x:c r="K25" s="16" t="str">
        <x:f>IF(I25="","Active","Exited")</x:f>
        <x:v>Active</x:v>
      </x:c>
      <x:c r="L25" s="16" t="n">
        <x:f>(YEAR(IF(I25="",TODAY(),I25))-YEAR(H25))*12+MONTH(IF(I25="",TODAY(),I25))-MONTH(H25)</x:f>
        <x:v>76</x:v>
      </x:c>
      <x:c r="M25" s="36" t="n">
        <x:f>DATE(YEAR(H25),MONTH(H25),1)</x:f>
        <x:v>43891</x:v>
      </x:c>
      <x:c r="N25" s="36" t="str">
        <x:f>IF(I25="","",DATE(YEAR(I25),MONTH(I25),1))</x:f>
      </x:c>
    </x:row>
    <x:row r="26">
      <x:c r="A26" s="16" t="str">
        <x:v>HG-01025</x:v>
      </x:c>
      <x:c r="B26" s="16" t="str">
        <x:v>Sajid Islam</x:v>
      </x:c>
      <x:c r="C26" s="16" t="str">
        <x:v>Male</x:v>
      </x:c>
      <x:c r="D26" s="16" t="str">
        <x:v>Administration</x:v>
      </x:c>
      <x:c r="E26" s="16" t="str">
        <x:v>Assistant Manager - Admin</x:v>
      </x:c>
      <x:c r="F26" s="16" t="str">
        <x:v>Dhaka Head Office</x:v>
      </x:c>
      <x:c r="G26" s="16" t="str">
        <x:v>Permanent</x:v>
      </x:c>
      <x:c r="H26" s="35" t="n">
        <x:v>44850</x:v>
      </x:c>
      <x:c r="I26" s="35"/>
      <x:c r="J26" s="16" t="str"/>
      <x:c r="K26" s="16" t="str">
        <x:f>IF(I26="","Active","Exited")</x:f>
        <x:v>Active</x:v>
      </x:c>
      <x:c r="L26" s="16" t="n">
        <x:f>(YEAR(IF(I26="",TODAY(),I26))-YEAR(H26))*12+MONTH(IF(I26="",TODAY(),I26))-MONTH(H26)</x:f>
        <x:v>45</x:v>
      </x:c>
      <x:c r="M26" s="36" t="n">
        <x:f>DATE(YEAR(H26),MONTH(H26),1)</x:f>
        <x:v>44835</x:v>
      </x:c>
      <x:c r="N26" s="36" t="str">
        <x:f>IF(I26="","",DATE(YEAR(I26),MONTH(I26),1))</x:f>
      </x:c>
    </x:row>
    <x:row r="27">
      <x:c r="A27" s="16" t="str">
        <x:v>HG-01026</x:v>
      </x:c>
      <x:c r="B27" s="16" t="str">
        <x:v>Nusrat Miah</x:v>
      </x:c>
      <x:c r="C27" s="16" t="str">
        <x:v>Female</x:v>
      </x:c>
      <x:c r="D27" s="16" t="str">
        <x:v>Information Technology</x:v>
      </x:c>
      <x:c r="E27" s="16" t="str">
        <x:v>Assistant Manager - IT</x:v>
      </x:c>
      <x:c r="F27" s="16" t="str">
        <x:v>Dhaka Head Office</x:v>
      </x:c>
      <x:c r="G27" s="16" t="str">
        <x:v>Permanent</x:v>
      </x:c>
      <x:c r="H27" s="35" t="n">
        <x:v>44070</x:v>
      </x:c>
      <x:c r="I27" s="35"/>
      <x:c r="J27" s="16" t="str"/>
      <x:c r="K27" s="16" t="str">
        <x:f>IF(I27="","Active","Exited")</x:f>
        <x:v>Active</x:v>
      </x:c>
      <x:c r="L27" s="16" t="n">
        <x:f>(YEAR(IF(I27="",TODAY(),I27))-YEAR(H27))*12+MONTH(IF(I27="",TODAY(),I27))-MONTH(H27)</x:f>
        <x:v>71</x:v>
      </x:c>
      <x:c r="M27" s="36" t="n">
        <x:f>DATE(YEAR(H27),MONTH(H27),1)</x:f>
        <x:v>44044</x:v>
      </x:c>
      <x:c r="N27" s="36" t="str">
        <x:f>IF(I27="","",DATE(YEAR(I27),MONTH(I27),1))</x:f>
      </x:c>
    </x:row>
    <x:row r="28">
      <x:c r="A28" s="16" t="str">
        <x:v>HG-01027</x:v>
      </x:c>
      <x:c r="B28" s="16" t="str">
        <x:v>Jannat Uddin</x:v>
      </x:c>
      <x:c r="C28" s="16" t="str">
        <x:v>Female</x:v>
      </x:c>
      <x:c r="D28" s="16" t="str">
        <x:v>Production</x:v>
      </x:c>
      <x:c r="E28" s="16" t="str">
        <x:v>Assistant Manager - Production</x:v>
      </x:c>
      <x:c r="F28" s="16" t="str">
        <x:v>Gazipur Plant</x:v>
      </x:c>
      <x:c r="G28" s="16" t="str">
        <x:v>Contract</x:v>
      </x:c>
      <x:c r="H28" s="35" t="n">
        <x:v>43530</x:v>
      </x:c>
      <x:c r="I28" s="35"/>
      <x:c r="J28" s="16" t="str"/>
      <x:c r="K28" s="16" t="str">
        <x:f>IF(I28="","Active","Exited")</x:f>
        <x:v>Active</x:v>
      </x:c>
      <x:c r="L28" s="16" t="n">
        <x:f>(YEAR(IF(I28="",TODAY(),I28))-YEAR(H28))*12+MONTH(IF(I28="",TODAY(),I28))-MONTH(H28)</x:f>
        <x:v>88</x:v>
      </x:c>
      <x:c r="M28" s="36" t="n">
        <x:f>DATE(YEAR(H28),MONTH(H28),1)</x:f>
        <x:v>43525</x:v>
      </x:c>
      <x:c r="N28" s="36" t="str">
        <x:f>IF(I28="","",DATE(YEAR(I28),MONTH(I28),1))</x:f>
      </x:c>
    </x:row>
    <x:row r="29">
      <x:c r="A29" s="16" t="str">
        <x:v>HG-01028</x:v>
      </x:c>
      <x:c r="B29" s="16" t="str">
        <x:v>Rashed Hasan</x:v>
      </x:c>
      <x:c r="C29" s="16" t="str">
        <x:v>Male</x:v>
      </x:c>
      <x:c r="D29" s="16" t="str">
        <x:v>Administration</x:v>
      </x:c>
      <x:c r="E29" s="16" t="str">
        <x:v>Admin Assistant</x:v>
      </x:c>
      <x:c r="F29" s="16" t="str">
        <x:v>Dhaka Head Office</x:v>
      </x:c>
      <x:c r="G29" s="16" t="str">
        <x:v>Permanent</x:v>
      </x:c>
      <x:c r="H29" s="35" t="n">
        <x:v>42995</x:v>
      </x:c>
      <x:c r="I29" s="35"/>
      <x:c r="J29" s="16" t="str"/>
      <x:c r="K29" s="16" t="str">
        <x:f>IF(I29="","Active","Exited")</x:f>
        <x:v>Active</x:v>
      </x:c>
      <x:c r="L29" s="16" t="n">
        <x:f>(YEAR(IF(I29="",TODAY(),I29))-YEAR(H29))*12+MONTH(IF(I29="",TODAY(),I29))-MONTH(H29)</x:f>
        <x:v>106</x:v>
      </x:c>
      <x:c r="M29" s="36" t="n">
        <x:f>DATE(YEAR(H29),MONTH(H29),1)</x:f>
        <x:v>42979</x:v>
      </x:c>
      <x:c r="N29" s="36" t="str">
        <x:f>IF(I29="","",DATE(YEAR(I29),MONTH(I29),1))</x:f>
      </x:c>
    </x:row>
    <x:row r="30">
      <x:c r="A30" s="16" t="str">
        <x:v>HG-01029</x:v>
      </x:c>
      <x:c r="B30" s="16" t="str">
        <x:v>Hasan Begum</x:v>
      </x:c>
      <x:c r="C30" s="16" t="str">
        <x:v>Male</x:v>
      </x:c>
      <x:c r="D30" s="16" t="str">
        <x:v>Sales &amp; Marketing</x:v>
      </x:c>
      <x:c r="E30" s="16" t="str">
        <x:v>Key Account Executive</x:v>
      </x:c>
      <x:c r="F30" s="16" t="str">
        <x:v>Dhaka Head Office</x:v>
      </x:c>
      <x:c r="G30" s="16" t="str">
        <x:v>Permanent</x:v>
      </x:c>
      <x:c r="H30" s="35" t="n">
        <x:v>44759</x:v>
      </x:c>
      <x:c r="I30" s="35"/>
      <x:c r="J30" s="16" t="str"/>
      <x:c r="K30" s="16" t="str">
        <x:f>IF(I30="","Active","Exited")</x:f>
        <x:v>Active</x:v>
      </x:c>
      <x:c r="L30" s="16" t="n">
        <x:f>(YEAR(IF(I30="",TODAY(),I30))-YEAR(H30))*12+MONTH(IF(I30="",TODAY(),I30))-MONTH(H30)</x:f>
        <x:v>48</x:v>
      </x:c>
      <x:c r="M30" s="36" t="n">
        <x:f>DATE(YEAR(H30),MONTH(H30),1)</x:f>
        <x:v>44743</x:v>
      </x:c>
      <x:c r="N30" s="36" t="str">
        <x:f>IF(I30="","",DATE(YEAR(I30),MONTH(I30),1))</x:f>
      </x:c>
    </x:row>
    <x:row r="31">
      <x:c r="A31" s="16" t="str">
        <x:v>HG-01030</x:v>
      </x:c>
      <x:c r="B31" s="16" t="str">
        <x:v>Sharmin Chowdhury</x:v>
      </x:c>
      <x:c r="C31" s="16" t="str">
        <x:v>Female</x:v>
      </x:c>
      <x:c r="D31" s="16" t="str">
        <x:v>Production</x:v>
      </x:c>
      <x:c r="E31" s="16" t="str">
        <x:v>Line Supervisor</x:v>
      </x:c>
      <x:c r="F31" s="16" t="str">
        <x:v>Gazipur Plant</x:v>
      </x:c>
      <x:c r="G31" s="16" t="str">
        <x:v>Permanent</x:v>
      </x:c>
      <x:c r="H31" s="35" t="n">
        <x:v>44575</x:v>
      </x:c>
      <x:c r="I31" s="35" t="n">
        <x:v>45902</x:v>
      </x:c>
      <x:c r="J31" s="16" t="str">
        <x:v>Compensation &amp; Benefits</x:v>
      </x:c>
      <x:c r="K31" s="16" t="str">
        <x:f>IF(I31="","Active","Exited")</x:f>
        <x:v>Exited</x:v>
      </x:c>
      <x:c r="L31" s="16" t="n">
        <x:f>(YEAR(IF(I31="",TODAY(),I31))-YEAR(H31))*12+MONTH(IF(I31="",TODAY(),I31))-MONTH(H31)</x:f>
        <x:v>44</x:v>
      </x:c>
      <x:c r="M31" s="36" t="n">
        <x:f>DATE(YEAR(H31),MONTH(H31),1)</x:f>
        <x:v>44562</x:v>
      </x:c>
      <x:c r="N31" s="36" t="n">
        <x:f>IF(I31="","",DATE(YEAR(I31),MONTH(I31),1))</x:f>
        <x:v>45901</x:v>
      </x:c>
    </x:row>
    <x:row r="32">
      <x:c r="A32" s="16" t="str">
        <x:v>HG-01031</x:v>
      </x:c>
      <x:c r="B32" s="16" t="str">
        <x:v>Fahim Begum</x:v>
      </x:c>
      <x:c r="C32" s="16" t="str">
        <x:v>Male</x:v>
      </x:c>
      <x:c r="D32" s="16" t="str">
        <x:v>Information Technology</x:v>
      </x:c>
      <x:c r="E32" s="16" t="str">
        <x:v>Software Executive</x:v>
      </x:c>
      <x:c r="F32" s="16" t="str">
        <x:v>Dhaka Head Office</x:v>
      </x:c>
      <x:c r="G32" s="16" t="str">
        <x:v>Permanent</x:v>
      </x:c>
      <x:c r="H32" s="35" t="n">
        <x:v>44524</x:v>
      </x:c>
      <x:c r="I32" s="35"/>
      <x:c r="J32" s="16" t="str"/>
      <x:c r="K32" s="16" t="str">
        <x:f>IF(I32="","Active","Exited")</x:f>
        <x:v>Active</x:v>
      </x:c>
      <x:c r="L32" s="16" t="n">
        <x:f>(YEAR(IF(I32="",TODAY(),I32))-YEAR(H32))*12+MONTH(IF(I32="",TODAY(),I32))-MONTH(H32)</x:f>
        <x:v>56</x:v>
      </x:c>
      <x:c r="M32" s="36" t="n">
        <x:f>DATE(YEAR(H32),MONTH(H32),1)</x:f>
        <x:v>44501</x:v>
      </x:c>
      <x:c r="N32" s="36" t="str">
        <x:f>IF(I32="","",DATE(YEAR(I32),MONTH(I32),1))</x:f>
      </x:c>
    </x:row>
    <x:row r="33">
      <x:c r="A33" s="16" t="str">
        <x:v>HG-01032</x:v>
      </x:c>
      <x:c r="B33" s="16" t="str">
        <x:v>Nabila Chowdhury</x:v>
      </x:c>
      <x:c r="C33" s="16" t="str">
        <x:v>Female</x:v>
      </x:c>
      <x:c r="D33" s="16" t="str">
        <x:v>Production</x:v>
      </x:c>
      <x:c r="E33" s="16" t="str">
        <x:v>Production Operator</x:v>
      </x:c>
      <x:c r="F33" s="16" t="str">
        <x:v>Narayanganj Plant</x:v>
      </x:c>
      <x:c r="G33" s="16" t="str">
        <x:v>Permanent</x:v>
      </x:c>
      <x:c r="H33" s="35" t="n">
        <x:v>45062</x:v>
      </x:c>
      <x:c r="I33" s="35"/>
      <x:c r="J33" s="16" t="str"/>
      <x:c r="K33" s="16" t="str">
        <x:f>IF(I33="","Active","Exited")</x:f>
        <x:v>Active</x:v>
      </x:c>
      <x:c r="L33" s="16" t="n">
        <x:f>(YEAR(IF(I33="",TODAY(),I33))-YEAR(H33))*12+MONTH(IF(I33="",TODAY(),I33))-MONTH(H33)</x:f>
        <x:v>38</x:v>
      </x:c>
      <x:c r="M33" s="36" t="n">
        <x:f>DATE(YEAR(H33),MONTH(H33),1)</x:f>
        <x:v>45047</x:v>
      </x:c>
      <x:c r="N33" s="36" t="str">
        <x:f>IF(I33="","",DATE(YEAR(I33),MONTH(I33),1))</x:f>
      </x:c>
    </x:row>
    <x:row r="34">
      <x:c r="A34" s="16" t="str">
        <x:v>HG-01033</x:v>
      </x:c>
      <x:c r="B34" s="16" t="str">
        <x:v>Nayeem Islam</x:v>
      </x:c>
      <x:c r="C34" s="16" t="str">
        <x:v>Male</x:v>
      </x:c>
      <x:c r="D34" s="16" t="str">
        <x:v>Administration</x:v>
      </x:c>
      <x:c r="E34" s="16" t="str">
        <x:v>Admin Assistant</x:v>
      </x:c>
      <x:c r="F34" s="16" t="str">
        <x:v>Dhaka Head Office</x:v>
      </x:c>
      <x:c r="G34" s="16" t="str">
        <x:v>Permanent</x:v>
      </x:c>
      <x:c r="H34" s="35" t="n">
        <x:v>45202</x:v>
      </x:c>
      <x:c r="I34" s="35"/>
      <x:c r="J34" s="16" t="str"/>
      <x:c r="K34" s="16" t="str">
        <x:f>IF(I34="","Active","Exited")</x:f>
        <x:v>Active</x:v>
      </x:c>
      <x:c r="L34" s="16" t="n">
        <x:f>(YEAR(IF(I34="",TODAY(),I34))-YEAR(H34))*12+MONTH(IF(I34="",TODAY(),I34))-MONTH(H34)</x:f>
        <x:v>33</x:v>
      </x:c>
      <x:c r="M34" s="36" t="n">
        <x:f>DATE(YEAR(H34),MONTH(H34),1)</x:f>
        <x:v>45200</x:v>
      </x:c>
      <x:c r="N34" s="36" t="str">
        <x:f>IF(I34="","",DATE(YEAR(I34),MONTH(I34),1))</x:f>
      </x:c>
    </x:row>
    <x:row r="35">
      <x:c r="A35" s="16" t="str">
        <x:v>HG-01034</x:v>
      </x:c>
      <x:c r="B35" s="16" t="str">
        <x:v>Imran Karim</x:v>
      </x:c>
      <x:c r="C35" s="16" t="str">
        <x:v>Male</x:v>
      </x:c>
      <x:c r="D35" s="16" t="str">
        <x:v>Human Resources</x:v>
      </x:c>
      <x:c r="E35" s="16" t="str">
        <x:v>HR Assistant</x:v>
      </x:c>
      <x:c r="F35" s="16" t="str">
        <x:v>Dhaka Head Office</x:v>
      </x:c>
      <x:c r="G35" s="16" t="str">
        <x:v>Probation</x:v>
      </x:c>
      <x:c r="H35" s="35" t="n">
        <x:v>44631</x:v>
      </x:c>
      <x:c r="I35" s="35"/>
      <x:c r="J35" s="16" t="str"/>
      <x:c r="K35" s="16" t="str">
        <x:f>IF(I35="","Active","Exited")</x:f>
        <x:v>Active</x:v>
      </x:c>
      <x:c r="L35" s="16" t="n">
        <x:f>(YEAR(IF(I35="",TODAY(),I35))-YEAR(H35))*12+MONTH(IF(I35="",TODAY(),I35))-MONTH(H35)</x:f>
        <x:v>52</x:v>
      </x:c>
      <x:c r="M35" s="36" t="n">
        <x:f>DATE(YEAR(H35),MONTH(H35),1)</x:f>
        <x:v>44621</x:v>
      </x:c>
      <x:c r="N35" s="36" t="str">
        <x:f>IF(I35="","",DATE(YEAR(I35),MONTH(I35),1))</x:f>
      </x:c>
    </x:row>
    <x:row r="36">
      <x:c r="A36" s="16" t="str">
        <x:v>HG-01035</x:v>
      </x:c>
      <x:c r="B36" s="16" t="str">
        <x:v>Farzana Akter</x:v>
      </x:c>
      <x:c r="C36" s="16" t="str">
        <x:v>Female</x:v>
      </x:c>
      <x:c r="D36" s="16" t="str">
        <x:v>Administration</x:v>
      </x:c>
      <x:c r="E36" s="16" t="str">
        <x:v>Admin Executive</x:v>
      </x:c>
      <x:c r="F36" s="16" t="str">
        <x:v>Dhaka Head Office</x:v>
      </x:c>
      <x:c r="G36" s="16" t="str">
        <x:v>Permanent</x:v>
      </x:c>
      <x:c r="H36" s="35" t="n">
        <x:v>45403</x:v>
      </x:c>
      <x:c r="I36" s="35"/>
      <x:c r="J36" s="16" t="str"/>
      <x:c r="K36" s="16" t="str">
        <x:f>IF(I36="","Active","Exited")</x:f>
        <x:v>Active</x:v>
      </x:c>
      <x:c r="L36" s="16" t="n">
        <x:f>(YEAR(IF(I36="",TODAY(),I36))-YEAR(H36))*12+MONTH(IF(I36="",TODAY(),I36))-MONTH(H36)</x:f>
        <x:v>27</x:v>
      </x:c>
      <x:c r="M36" s="36" t="n">
        <x:f>DATE(YEAR(H36),MONTH(H36),1)</x:f>
        <x:v>45383</x:v>
      </x:c>
      <x:c r="N36" s="36" t="str">
        <x:f>IF(I36="","",DATE(YEAR(I36),MONTH(I36),1))</x:f>
      </x:c>
    </x:row>
    <x:row r="37">
      <x:c r="A37" s="16" t="str">
        <x:v>HG-01036</x:v>
      </x:c>
      <x:c r="B37" s="16" t="str">
        <x:v>Arif Miah</x:v>
      </x:c>
      <x:c r="C37" s="16" t="str">
        <x:v>Male</x:v>
      </x:c>
      <x:c r="D37" s="16" t="str">
        <x:v>Production</x:v>
      </x:c>
      <x:c r="E37" s="16" t="str">
        <x:v>Assistant Manager - Production</x:v>
      </x:c>
      <x:c r="F37" s="16" t="str">
        <x:v>Gazipur Plant</x:v>
      </x:c>
      <x:c r="G37" s="16" t="str">
        <x:v>Permanent</x:v>
      </x:c>
      <x:c r="H37" s="35" t="n">
        <x:v>42835</x:v>
      </x:c>
      <x:c r="I37" s="35"/>
      <x:c r="J37" s="16" t="str"/>
      <x:c r="K37" s="16" t="str">
        <x:f>IF(I37="","Active","Exited")</x:f>
        <x:v>Active</x:v>
      </x:c>
      <x:c r="L37" s="16" t="n">
        <x:f>(YEAR(IF(I37="",TODAY(),I37))-YEAR(H37))*12+MONTH(IF(I37="",TODAY(),I37))-MONTH(H37)</x:f>
        <x:v>111</x:v>
      </x:c>
      <x:c r="M37" s="36" t="n">
        <x:f>DATE(YEAR(H37),MONTH(H37),1)</x:f>
        <x:v>42826</x:v>
      </x:c>
      <x:c r="N37" s="36" t="str">
        <x:f>IF(I37="","",DATE(YEAR(I37),MONTH(I37),1))</x:f>
      </x:c>
    </x:row>
    <x:row r="38">
      <x:c r="A38" s="16" t="str">
        <x:v>HG-01037</x:v>
      </x:c>
      <x:c r="B38" s="16" t="str">
        <x:v>Mehedi Ahmed</x:v>
      </x:c>
      <x:c r="C38" s="16" t="str">
        <x:v>Male</x:v>
      </x:c>
      <x:c r="D38" s="16" t="str">
        <x:v>Administration</x:v>
      </x:c>
      <x:c r="E38" s="16" t="str">
        <x:v>Admin Assistant</x:v>
      </x:c>
      <x:c r="F38" s="16" t="str">
        <x:v>Dhaka Head Office</x:v>
      </x:c>
      <x:c r="G38" s="16" t="str">
        <x:v>Permanent</x:v>
      </x:c>
      <x:c r="H38" s="35" t="n">
        <x:v>45010</x:v>
      </x:c>
      <x:c r="I38" s="35"/>
      <x:c r="J38" s="16" t="str"/>
      <x:c r="K38" s="16" t="str">
        <x:f>IF(I38="","Active","Exited")</x:f>
        <x:v>Active</x:v>
      </x:c>
      <x:c r="L38" s="16" t="n">
        <x:f>(YEAR(IF(I38="",TODAY(),I38))-YEAR(H38))*12+MONTH(IF(I38="",TODAY(),I38))-MONTH(H38)</x:f>
        <x:v>40</x:v>
      </x:c>
      <x:c r="M38" s="36" t="n">
        <x:f>DATE(YEAR(H38),MONTH(H38),1)</x:f>
        <x:v>44986</x:v>
      </x:c>
      <x:c r="N38" s="36" t="str">
        <x:f>IF(I38="","",DATE(YEAR(I38),MONTH(I38),1))</x:f>
      </x:c>
    </x:row>
    <x:row r="39">
      <x:c r="A39" s="16" t="str">
        <x:v>HG-01038</x:v>
      </x:c>
      <x:c r="B39" s="16" t="str">
        <x:v>Sabbir Akter</x:v>
      </x:c>
      <x:c r="C39" s="16" t="str">
        <x:v>Male</x:v>
      </x:c>
      <x:c r="D39" s="16" t="str">
        <x:v>Quality Assurance</x:v>
      </x:c>
      <x:c r="E39" s="16" t="str">
        <x:v>QA Officer</x:v>
      </x:c>
      <x:c r="F39" s="16" t="str">
        <x:v>Gazipur Plant</x:v>
      </x:c>
      <x:c r="G39" s="16" t="str">
        <x:v>Permanent</x:v>
      </x:c>
      <x:c r="H39" s="35" t="n">
        <x:v>44203</x:v>
      </x:c>
      <x:c r="I39" s="35"/>
      <x:c r="J39" s="16" t="str"/>
      <x:c r="K39" s="16" t="str">
        <x:f>IF(I39="","Active","Exited")</x:f>
        <x:v>Active</x:v>
      </x:c>
      <x:c r="L39" s="16" t="n">
        <x:f>(YEAR(IF(I39="",TODAY(),I39))-YEAR(H39))*12+MONTH(IF(I39="",TODAY(),I39))-MONTH(H39)</x:f>
        <x:v>66</x:v>
      </x:c>
      <x:c r="M39" s="36" t="n">
        <x:f>DATE(YEAR(H39),MONTH(H39),1)</x:f>
        <x:v>44197</x:v>
      </x:c>
      <x:c r="N39" s="36" t="str">
        <x:f>IF(I39="","",DATE(YEAR(I39),MONTH(I39),1))</x:f>
      </x:c>
    </x:row>
    <x:row r="40">
      <x:c r="A40" s="16" t="str">
        <x:v>HG-01039</x:v>
      </x:c>
      <x:c r="B40" s="16" t="str">
        <x:v>Mizan Akter</x:v>
      </x:c>
      <x:c r="C40" s="16" t="str">
        <x:v>Male</x:v>
      </x:c>
      <x:c r="D40" s="16" t="str">
        <x:v>Administration</x:v>
      </x:c>
      <x:c r="E40" s="16" t="str">
        <x:v>Facility Officer</x:v>
      </x:c>
      <x:c r="F40" s="16" t="str">
        <x:v>Dhaka Head Office</x:v>
      </x:c>
      <x:c r="G40" s="16" t="str">
        <x:v>Contract</x:v>
      </x:c>
      <x:c r="H40" s="35" t="n">
        <x:v>43132</x:v>
      </x:c>
      <x:c r="I40" s="35"/>
      <x:c r="J40" s="16" t="str"/>
      <x:c r="K40" s="16" t="str">
        <x:f>IF(I40="","Active","Exited")</x:f>
        <x:v>Active</x:v>
      </x:c>
      <x:c r="L40" s="16" t="n">
        <x:f>(YEAR(IF(I40="",TODAY(),I40))-YEAR(H40))*12+MONTH(IF(I40="",TODAY(),I40))-MONTH(H40)</x:f>
        <x:v>101</x:v>
      </x:c>
      <x:c r="M40" s="36" t="n">
        <x:f>DATE(YEAR(H40),MONTH(H40),1)</x:f>
        <x:v>43132</x:v>
      </x:c>
      <x:c r="N40" s="36" t="str">
        <x:f>IF(I40="","",DATE(YEAR(I40),MONTH(I40),1))</x:f>
      </x:c>
    </x:row>
    <x:row r="41">
      <x:c r="A41" s="16" t="str">
        <x:v>HG-01040</x:v>
      </x:c>
      <x:c r="B41" s="16" t="str">
        <x:v>Fahim Rahman</x:v>
      </x:c>
      <x:c r="C41" s="16" t="str">
        <x:v>Male</x:v>
      </x:c>
      <x:c r="D41" s="16" t="str">
        <x:v>Production</x:v>
      </x:c>
      <x:c r="E41" s="16" t="str">
        <x:v>Production Operator</x:v>
      </x:c>
      <x:c r="F41" s="16" t="str">
        <x:v>Narayanganj Plant</x:v>
      </x:c>
      <x:c r="G41" s="16" t="str">
        <x:v>Permanent</x:v>
      </x:c>
      <x:c r="H41" s="35" t="n">
        <x:v>44525</x:v>
      </x:c>
      <x:c r="I41" s="35"/>
      <x:c r="J41" s="16" t="str"/>
      <x:c r="K41" s="16" t="str">
        <x:f>IF(I41="","Active","Exited")</x:f>
        <x:v>Active</x:v>
      </x:c>
      <x:c r="L41" s="16" t="n">
        <x:f>(YEAR(IF(I41="",TODAY(),I41))-YEAR(H41))*12+MONTH(IF(I41="",TODAY(),I41))-MONTH(H41)</x:f>
        <x:v>56</x:v>
      </x:c>
      <x:c r="M41" s="36" t="n">
        <x:f>DATE(YEAR(H41),MONTH(H41),1)</x:f>
        <x:v>44501</x:v>
      </x:c>
      <x:c r="N41" s="36" t="str">
        <x:f>IF(I41="","",DATE(YEAR(I41),MONTH(I41),1))</x:f>
      </x:c>
    </x:row>
    <x:row r="42">
      <x:c r="A42" s="16" t="str">
        <x:v>HG-01041</x:v>
      </x:c>
      <x:c r="B42" s="16" t="str">
        <x:v>Arif Akter</x:v>
      </x:c>
      <x:c r="C42" s="16" t="str">
        <x:v>Male</x:v>
      </x:c>
      <x:c r="D42" s="16" t="str">
        <x:v>Quality Assurance</x:v>
      </x:c>
      <x:c r="E42" s="16" t="str">
        <x:v>Senior QA Executive</x:v>
      </x:c>
      <x:c r="F42" s="16" t="str">
        <x:v>Gazipur Plant</x:v>
      </x:c>
      <x:c r="G42" s="16" t="str">
        <x:v>Probation</x:v>
      </x:c>
      <x:c r="H42" s="35" t="n">
        <x:v>43779</x:v>
      </x:c>
      <x:c r="I42" s="35" t="n">
        <x:v>46031</x:v>
      </x:c>
      <x:c r="J42" s="16" t="str">
        <x:v>Career Growth</x:v>
      </x:c>
      <x:c r="K42" s="16" t="str">
        <x:f>IF(I42="","Active","Exited")</x:f>
        <x:v>Exited</x:v>
      </x:c>
      <x:c r="L42" s="16" t="n">
        <x:f>(YEAR(IF(I42="",TODAY(),I42))-YEAR(H42))*12+MONTH(IF(I42="",TODAY(),I42))-MONTH(H42)</x:f>
        <x:v>74</x:v>
      </x:c>
      <x:c r="M42" s="36" t="n">
        <x:f>DATE(YEAR(H42),MONTH(H42),1)</x:f>
        <x:v>43770</x:v>
      </x:c>
      <x:c r="N42" s="36" t="n">
        <x:f>IF(I42="","",DATE(YEAR(I42),MONTH(I42),1))</x:f>
        <x:v>46023</x:v>
      </x:c>
    </x:row>
    <x:row r="43">
      <x:c r="A43" s="16" t="str">
        <x:v>HG-01042</x:v>
      </x:c>
      <x:c r="B43" s="16" t="str">
        <x:v>Ayesha Islam</x:v>
      </x:c>
      <x:c r="C43" s="16" t="str">
        <x:v>Female</x:v>
      </x:c>
      <x:c r="D43" s="16" t="str">
        <x:v>Sales &amp; Marketing</x:v>
      </x:c>
      <x:c r="E43" s="16" t="str">
        <x:v>Key Account Executive</x:v>
      </x:c>
      <x:c r="F43" s="16" t="str">
        <x:v>Narayanganj Plant</x:v>
      </x:c>
      <x:c r="G43" s="16" t="str">
        <x:v>Permanent</x:v>
      </x:c>
      <x:c r="H43" s="35" t="n">
        <x:v>45526</x:v>
      </x:c>
      <x:c r="I43" s="35"/>
      <x:c r="J43" s="16" t="str"/>
      <x:c r="K43" s="16" t="str">
        <x:f>IF(I43="","Active","Exited")</x:f>
        <x:v>Active</x:v>
      </x:c>
      <x:c r="L43" s="16" t="n">
        <x:f>(YEAR(IF(I43="",TODAY(),I43))-YEAR(H43))*12+MONTH(IF(I43="",TODAY(),I43))-MONTH(H43)</x:f>
        <x:v>23</x:v>
      </x:c>
      <x:c r="M43" s="36" t="n">
        <x:f>DATE(YEAR(H43),MONTH(H43),1)</x:f>
        <x:v>45505</x:v>
      </x:c>
      <x:c r="N43" s="36" t="str">
        <x:f>IF(I43="","",DATE(YEAR(I43),MONTH(I43),1))</x:f>
      </x:c>
    </x:row>
    <x:row r="44">
      <x:c r="A44" s="16" t="str">
        <x:v>HG-01043</x:v>
      </x:c>
      <x:c r="B44" s="16" t="str">
        <x:v>Foysal Alam</x:v>
      </x:c>
      <x:c r="C44" s="16" t="str">
        <x:v>Male</x:v>
      </x:c>
      <x:c r="D44" s="16" t="str">
        <x:v>Human Resources</x:v>
      </x:c>
      <x:c r="E44" s="16" t="str">
        <x:v>Assistant Manager - HR</x:v>
      </x:c>
      <x:c r="F44" s="16" t="str">
        <x:v>Gazipur Plant</x:v>
      </x:c>
      <x:c r="G44" s="16" t="str">
        <x:v>Permanent</x:v>
      </x:c>
      <x:c r="H44" s="35" t="n">
        <x:v>44370</x:v>
      </x:c>
      <x:c r="I44" s="35" t="n">
        <x:v>46034</x:v>
      </x:c>
      <x:c r="J44" s="16" t="str">
        <x:v>End of Contract</x:v>
      </x:c>
      <x:c r="K44" s="16" t="str">
        <x:f>IF(I44="","Active","Exited")</x:f>
        <x:v>Exited</x:v>
      </x:c>
      <x:c r="L44" s="16" t="n">
        <x:f>(YEAR(IF(I44="",TODAY(),I44))-YEAR(H44))*12+MONTH(IF(I44="",TODAY(),I44))-MONTH(H44)</x:f>
        <x:v>55</x:v>
      </x:c>
      <x:c r="M44" s="36" t="n">
        <x:f>DATE(YEAR(H44),MONTH(H44),1)</x:f>
        <x:v>44348</x:v>
      </x:c>
      <x:c r="N44" s="36" t="n">
        <x:f>IF(I44="","",DATE(YEAR(I44),MONTH(I44),1))</x:f>
        <x:v>46023</x:v>
      </x:c>
    </x:row>
    <x:row r="45">
      <x:c r="A45" s="16" t="str">
        <x:v>HG-01044</x:v>
      </x:c>
      <x:c r="B45" s="16" t="str">
        <x:v>Mizan Hossain</x:v>
      </x:c>
      <x:c r="C45" s="16" t="str">
        <x:v>Male</x:v>
      </x:c>
      <x:c r="D45" s="16" t="str">
        <x:v>Information Technology</x:v>
      </x:c>
      <x:c r="E45" s="16" t="str">
        <x:v>Data Analyst</x:v>
      </x:c>
      <x:c r="F45" s="16" t="str">
        <x:v>Gazipur Plant</x:v>
      </x:c>
      <x:c r="G45" s="16" t="str">
        <x:v>Permanent</x:v>
      </x:c>
      <x:c r="H45" s="35" t="n">
        <x:v>43745</x:v>
      </x:c>
      <x:c r="I45" s="35"/>
      <x:c r="J45" s="16" t="str"/>
      <x:c r="K45" s="16" t="str">
        <x:f>IF(I45="","Active","Exited")</x:f>
        <x:v>Active</x:v>
      </x:c>
      <x:c r="L45" s="16" t="n">
        <x:f>(YEAR(IF(I45="",TODAY(),I45))-YEAR(H45))*12+MONTH(IF(I45="",TODAY(),I45))-MONTH(H45)</x:f>
        <x:v>81</x:v>
      </x:c>
      <x:c r="M45" s="36" t="n">
        <x:f>DATE(YEAR(H45),MONTH(H45),1)</x:f>
        <x:v>43739</x:v>
      </x:c>
      <x:c r="N45" s="36" t="str">
        <x:f>IF(I45="","",DATE(YEAR(I45),MONTH(I45),1))</x:f>
      </x:c>
    </x:row>
    <x:row r="46">
      <x:c r="A46" s="16" t="str">
        <x:v>HG-01045</x:v>
      </x:c>
      <x:c r="B46" s="16" t="str">
        <x:v>Jubayer Ahmed</x:v>
      </x:c>
      <x:c r="C46" s="16" t="str">
        <x:v>Male</x:v>
      </x:c>
      <x:c r="D46" s="16" t="str">
        <x:v>Quality Assurance</x:v>
      </x:c>
      <x:c r="E46" s="16" t="str">
        <x:v>QA Officer</x:v>
      </x:c>
      <x:c r="F46" s="16" t="str">
        <x:v>Gazipur Plant</x:v>
      </x:c>
      <x:c r="G46" s="16" t="str">
        <x:v>Permanent</x:v>
      </x:c>
      <x:c r="H46" s="35" t="n">
        <x:v>45446</x:v>
      </x:c>
      <x:c r="I46" s="35"/>
      <x:c r="J46" s="16" t="str"/>
      <x:c r="K46" s="16" t="str">
        <x:f>IF(I46="","Active","Exited")</x:f>
        <x:v>Active</x:v>
      </x:c>
      <x:c r="L46" s="16" t="n">
        <x:f>(YEAR(IF(I46="",TODAY(),I46))-YEAR(H46))*12+MONTH(IF(I46="",TODAY(),I46))-MONTH(H46)</x:f>
        <x:v>25</x:v>
      </x:c>
      <x:c r="M46" s="36" t="n">
        <x:f>DATE(YEAR(H46),MONTH(H46),1)</x:f>
        <x:v>45444</x:v>
      </x:c>
      <x:c r="N46" s="36" t="str">
        <x:f>IF(I46="","",DATE(YEAR(I46),MONTH(I46),1))</x:f>
      </x:c>
    </x:row>
    <x:row r="47">
      <x:c r="A47" s="16" t="str">
        <x:v>HG-01046</x:v>
      </x:c>
      <x:c r="B47" s="16" t="str">
        <x:v>Sharmin Uddin</x:v>
      </x:c>
      <x:c r="C47" s="16" t="str">
        <x:v>Female</x:v>
      </x:c>
      <x:c r="D47" s="16" t="str">
        <x:v>Production</x:v>
      </x:c>
      <x:c r="E47" s="16" t="str">
        <x:v>Production Operator</x:v>
      </x:c>
      <x:c r="F47" s="16" t="str">
        <x:v>Gazipur Plant</x:v>
      </x:c>
      <x:c r="G47" s="16" t="str">
        <x:v>Permanent</x:v>
      </x:c>
      <x:c r="H47" s="35" t="n">
        <x:v>43576</x:v>
      </x:c>
      <x:c r="I47" s="35" t="n">
        <x:v>45696</x:v>
      </x:c>
      <x:c r="J47" s="16" t="str">
        <x:v>Career Growth</x:v>
      </x:c>
      <x:c r="K47" s="16" t="str">
        <x:f>IF(I47="","Active","Exited")</x:f>
        <x:v>Exited</x:v>
      </x:c>
      <x:c r="L47" s="16" t="n">
        <x:f>(YEAR(IF(I47="",TODAY(),I47))-YEAR(H47))*12+MONTH(IF(I47="",TODAY(),I47))-MONTH(H47)</x:f>
        <x:v>70</x:v>
      </x:c>
      <x:c r="M47" s="36" t="n">
        <x:f>DATE(YEAR(H47),MONTH(H47),1)</x:f>
        <x:v>43556</x:v>
      </x:c>
      <x:c r="N47" s="36" t="n">
        <x:f>IF(I47="","",DATE(YEAR(I47),MONTH(I47),1))</x:f>
        <x:v>45689</x:v>
      </x:c>
    </x:row>
    <x:row r="48">
      <x:c r="A48" s="16" t="str">
        <x:v>HG-01047</x:v>
      </x:c>
      <x:c r="B48" s="16" t="str">
        <x:v>Rakib Akter</x:v>
      </x:c>
      <x:c r="C48" s="16" t="str">
        <x:v>Male</x:v>
      </x:c>
      <x:c r="D48" s="16" t="str">
        <x:v>Production</x:v>
      </x:c>
      <x:c r="E48" s="16" t="str">
        <x:v>Assistant Manager - Production</x:v>
      </x:c>
      <x:c r="F48" s="16" t="str">
        <x:v>Narayanganj Plant</x:v>
      </x:c>
      <x:c r="G48" s="16" t="str">
        <x:v>Permanent</x:v>
      </x:c>
      <x:c r="H48" s="35" t="n">
        <x:v>44115</x:v>
      </x:c>
      <x:c r="I48" s="35" t="n">
        <x:v>45823</x:v>
      </x:c>
      <x:c r="J48" s="16" t="str">
        <x:v>Performance</x:v>
      </x:c>
      <x:c r="K48" s="16" t="str">
        <x:f>IF(I48="","Active","Exited")</x:f>
        <x:v>Exited</x:v>
      </x:c>
      <x:c r="L48" s="16" t="n">
        <x:f>(YEAR(IF(I48="",TODAY(),I48))-YEAR(H48))*12+MONTH(IF(I48="",TODAY(),I48))-MONTH(H48)</x:f>
        <x:v>56</x:v>
      </x:c>
      <x:c r="M48" s="36" t="n">
        <x:f>DATE(YEAR(H48),MONTH(H48),1)</x:f>
        <x:v>44105</x:v>
      </x:c>
      <x:c r="N48" s="36" t="n">
        <x:f>IF(I48="","",DATE(YEAR(I48),MONTH(I48),1))</x:f>
        <x:v>45809</x:v>
      </x:c>
    </x:row>
    <x:row r="49">
      <x:c r="A49" s="16" t="str">
        <x:v>HG-01048</x:v>
      </x:c>
      <x:c r="B49" s="16" t="str">
        <x:v>Mizan Begum</x:v>
      </x:c>
      <x:c r="C49" s="16" t="str">
        <x:v>Male</x:v>
      </x:c>
      <x:c r="D49" s="16" t="str">
        <x:v>Finance &amp; Accounts</x:v>
      </x:c>
      <x:c r="E49" s="16" t="str">
        <x:v>Accounts Executive</x:v>
      </x:c>
      <x:c r="F49" s="16" t="str">
        <x:v>Chattogram Office</x:v>
      </x:c>
      <x:c r="G49" s="16" t="str">
        <x:v>Permanent</x:v>
      </x:c>
      <x:c r="H49" s="35" t="n">
        <x:v>42890</x:v>
      </x:c>
      <x:c r="I49" s="35" t="n">
        <x:v>46052</x:v>
      </x:c>
      <x:c r="J49" s="16" t="str">
        <x:v>Relocation</x:v>
      </x:c>
      <x:c r="K49" s="16" t="str">
        <x:f>IF(I49="","Active","Exited")</x:f>
        <x:v>Exited</x:v>
      </x:c>
      <x:c r="L49" s="16" t="n">
        <x:f>(YEAR(IF(I49="",TODAY(),I49))-YEAR(H49))*12+MONTH(IF(I49="",TODAY(),I49))-MONTH(H49)</x:f>
        <x:v>103</x:v>
      </x:c>
      <x:c r="M49" s="36" t="n">
        <x:f>DATE(YEAR(H49),MONTH(H49),1)</x:f>
        <x:v>42887</x:v>
      </x:c>
      <x:c r="N49" s="36" t="n">
        <x:f>IF(I49="","",DATE(YEAR(I49),MONTH(I49),1))</x:f>
        <x:v>46023</x:v>
      </x:c>
    </x:row>
    <x:row r="50">
      <x:c r="A50" s="16" t="str">
        <x:v>HG-01049</x:v>
      </x:c>
      <x:c r="B50" s="16" t="str">
        <x:v>Sajid Hossain</x:v>
      </x:c>
      <x:c r="C50" s="16" t="str">
        <x:v>Male</x:v>
      </x:c>
      <x:c r="D50" s="16" t="str">
        <x:v>Production</x:v>
      </x:c>
      <x:c r="E50" s="16" t="str">
        <x:v>Assistant Manager - Production</x:v>
      </x:c>
      <x:c r="F50" s="16" t="str">
        <x:v>Gazipur Plant</x:v>
      </x:c>
      <x:c r="G50" s="16" t="str">
        <x:v>Permanent</x:v>
      </x:c>
      <x:c r="H50" s="35" t="n">
        <x:v>43660</x:v>
      </x:c>
      <x:c r="I50" s="35"/>
      <x:c r="J50" s="16" t="str"/>
      <x:c r="K50" s="16" t="str">
        <x:f>IF(I50="","Active","Exited")</x:f>
        <x:v>Active</x:v>
      </x:c>
      <x:c r="L50" s="16" t="n">
        <x:f>(YEAR(IF(I50="",TODAY(),I50))-YEAR(H50))*12+MONTH(IF(I50="",TODAY(),I50))-MONTH(H50)</x:f>
        <x:v>84</x:v>
      </x:c>
      <x:c r="M50" s="36" t="n">
        <x:f>DATE(YEAR(H50),MONTH(H50),1)</x:f>
        <x:v>43647</x:v>
      </x:c>
      <x:c r="N50" s="36" t="str">
        <x:f>IF(I50="","",DATE(YEAR(I50),MONTH(I50),1))</x:f>
      </x:c>
    </x:row>
    <x:row r="51">
      <x:c r="A51" s="16" t="str">
        <x:v>HG-01050</x:v>
      </x:c>
      <x:c r="B51" s="16" t="str">
        <x:v>Shakil Akter</x:v>
      </x:c>
      <x:c r="C51" s="16" t="str">
        <x:v>Male</x:v>
      </x:c>
      <x:c r="D51" s="16" t="str">
        <x:v>Quality Assurance</x:v>
      </x:c>
      <x:c r="E51" s="16" t="str">
        <x:v>Quality Inspector</x:v>
      </x:c>
      <x:c r="F51" s="16" t="str">
        <x:v>Narayanganj Plant</x:v>
      </x:c>
      <x:c r="G51" s="16" t="str">
        <x:v>Permanent</x:v>
      </x:c>
      <x:c r="H51" s="35" t="n">
        <x:v>44969</x:v>
      </x:c>
      <x:c r="I51" s="35"/>
      <x:c r="J51" s="16" t="str"/>
      <x:c r="K51" s="16" t="str">
        <x:f>IF(I51="","Active","Exited")</x:f>
        <x:v>Active</x:v>
      </x:c>
      <x:c r="L51" s="16" t="n">
        <x:f>(YEAR(IF(I51="",TODAY(),I51))-YEAR(H51))*12+MONTH(IF(I51="",TODAY(),I51))-MONTH(H51)</x:f>
        <x:v>41</x:v>
      </x:c>
      <x:c r="M51" s="36" t="n">
        <x:f>DATE(YEAR(H51),MONTH(H51),1)</x:f>
        <x:v>44958</x:v>
      </x:c>
      <x:c r="N51" s="36" t="str">
        <x:f>IF(I51="","",DATE(YEAR(I51),MONTH(I51),1))</x:f>
      </x:c>
    </x:row>
    <x:row r="52">
      <x:c r="A52" s="16" t="str">
        <x:v>HG-01051</x:v>
      </x:c>
      <x:c r="B52" s="16" t="str">
        <x:v>Hasan Kabir</x:v>
      </x:c>
      <x:c r="C52" s="16" t="str">
        <x:v>Male</x:v>
      </x:c>
      <x:c r="D52" s="16" t="str">
        <x:v>Production</x:v>
      </x:c>
      <x:c r="E52" s="16" t="str">
        <x:v>Assistant Manager - Production</x:v>
      </x:c>
      <x:c r="F52" s="16" t="str">
        <x:v>Gazipur Plant</x:v>
      </x:c>
      <x:c r="G52" s="16" t="str">
        <x:v>Permanent</x:v>
      </x:c>
      <x:c r="H52" s="35" t="n">
        <x:v>43248</x:v>
      </x:c>
      <x:c r="I52" s="35"/>
      <x:c r="J52" s="16" t="str"/>
      <x:c r="K52" s="16" t="str">
        <x:f>IF(I52="","Active","Exited")</x:f>
        <x:v>Active</x:v>
      </x:c>
      <x:c r="L52" s="16" t="n">
        <x:f>(YEAR(IF(I52="",TODAY(),I52))-YEAR(H52))*12+MONTH(IF(I52="",TODAY(),I52))-MONTH(H52)</x:f>
        <x:v>98</x:v>
      </x:c>
      <x:c r="M52" s="36" t="n">
        <x:f>DATE(YEAR(H52),MONTH(H52),1)</x:f>
        <x:v>43221</x:v>
      </x:c>
      <x:c r="N52" s="36" t="str">
        <x:f>IF(I52="","",DATE(YEAR(I52),MONTH(I52),1))</x:f>
      </x:c>
    </x:row>
    <x:row r="53">
      <x:c r="A53" s="16" t="str">
        <x:v>HG-01052</x:v>
      </x:c>
      <x:c r="B53" s="16" t="str">
        <x:v>Tanjila Begum</x:v>
      </x:c>
      <x:c r="C53" s="16" t="str">
        <x:v>Female</x:v>
      </x:c>
      <x:c r="D53" s="16" t="str">
        <x:v>Production</x:v>
      </x:c>
      <x:c r="E53" s="16" t="str">
        <x:v>Assistant Manager - Production</x:v>
      </x:c>
      <x:c r="F53" s="16" t="str">
        <x:v>Gazipur Plant</x:v>
      </x:c>
      <x:c r="G53" s="16" t="str">
        <x:v>Permanent</x:v>
      </x:c>
      <x:c r="H53" s="35" t="n">
        <x:v>43495</x:v>
      </x:c>
      <x:c r="I53" s="35"/>
      <x:c r="J53" s="16" t="str"/>
      <x:c r="K53" s="16" t="str">
        <x:f>IF(I53="","Active","Exited")</x:f>
        <x:v>Active</x:v>
      </x:c>
      <x:c r="L53" s="16" t="n">
        <x:f>(YEAR(IF(I53="",TODAY(),I53))-YEAR(H53))*12+MONTH(IF(I53="",TODAY(),I53))-MONTH(H53)</x:f>
        <x:v>90</x:v>
      </x:c>
      <x:c r="M53" s="36" t="n">
        <x:f>DATE(YEAR(H53),MONTH(H53),1)</x:f>
        <x:v>43466</x:v>
      </x:c>
      <x:c r="N53" s="36" t="str">
        <x:f>IF(I53="","",DATE(YEAR(I53),MONTH(I53),1))</x:f>
      </x:c>
    </x:row>
    <x:row r="54">
      <x:c r="A54" s="16" t="str">
        <x:v>HG-01053</x:v>
      </x:c>
      <x:c r="B54" s="16" t="str">
        <x:v>Rumana Ahmed</x:v>
      </x:c>
      <x:c r="C54" s="16" t="str">
        <x:v>Female</x:v>
      </x:c>
      <x:c r="D54" s="16" t="str">
        <x:v>Sales &amp; Marketing</x:v>
      </x:c>
      <x:c r="E54" s="16" t="str">
        <x:v>Key Account Executive</x:v>
      </x:c>
      <x:c r="F54" s="16" t="str">
        <x:v>Dhaka Head Office</x:v>
      </x:c>
      <x:c r="G54" s="16" t="str">
        <x:v>Permanent</x:v>
      </x:c>
      <x:c r="H54" s="35" t="n">
        <x:v>42994</x:v>
      </x:c>
      <x:c r="I54" s="35"/>
      <x:c r="J54" s="16" t="str"/>
      <x:c r="K54" s="16" t="str">
        <x:f>IF(I54="","Active","Exited")</x:f>
        <x:v>Active</x:v>
      </x:c>
      <x:c r="L54" s="16" t="n">
        <x:f>(YEAR(IF(I54="",TODAY(),I54))-YEAR(H54))*12+MONTH(IF(I54="",TODAY(),I54))-MONTH(H54)</x:f>
        <x:v>106</x:v>
      </x:c>
      <x:c r="M54" s="36" t="n">
        <x:f>DATE(YEAR(H54),MONTH(H54),1)</x:f>
        <x:v>42979</x:v>
      </x:c>
      <x:c r="N54" s="36" t="str">
        <x:f>IF(I54="","",DATE(YEAR(I54),MONTH(I54),1))</x:f>
      </x:c>
    </x:row>
    <x:row r="55">
      <x:c r="A55" s="16" t="str">
        <x:v>HG-01054</x:v>
      </x:c>
      <x:c r="B55" s="16" t="str">
        <x:v>Rafi Khan</x:v>
      </x:c>
      <x:c r="C55" s="16" t="str">
        <x:v>Male</x:v>
      </x:c>
      <x:c r="D55" s="16" t="str">
        <x:v>Human Resources</x:v>
      </x:c>
      <x:c r="E55" s="16" t="str">
        <x:v>HR Assistant</x:v>
      </x:c>
      <x:c r="F55" s="16" t="str">
        <x:v>Dhaka Head Office</x:v>
      </x:c>
      <x:c r="G55" s="16" t="str">
        <x:v>Permanent</x:v>
      </x:c>
      <x:c r="H55" s="35" t="n">
        <x:v>44110</x:v>
      </x:c>
      <x:c r="I55" s="35"/>
      <x:c r="J55" s="16" t="str"/>
      <x:c r="K55" s="16" t="str">
        <x:f>IF(I55="","Active","Exited")</x:f>
        <x:v>Active</x:v>
      </x:c>
      <x:c r="L55" s="16" t="n">
        <x:f>(YEAR(IF(I55="",TODAY(),I55))-YEAR(H55))*12+MONTH(IF(I55="",TODAY(),I55))-MONTH(H55)</x:f>
        <x:v>69</x:v>
      </x:c>
      <x:c r="M55" s="36" t="n">
        <x:f>DATE(YEAR(H55),MONTH(H55),1)</x:f>
        <x:v>44105</x:v>
      </x:c>
      <x:c r="N55" s="36" t="str">
        <x:f>IF(I55="","",DATE(YEAR(I55),MONTH(I55),1))</x:f>
      </x:c>
    </x:row>
    <x:row r="56">
      <x:c r="A56" s="16" t="str">
        <x:v>HG-01055</x:v>
      </x:c>
      <x:c r="B56" s="16" t="str">
        <x:v>Shakil Hasan</x:v>
      </x:c>
      <x:c r="C56" s="16" t="str">
        <x:v>Male</x:v>
      </x:c>
      <x:c r="D56" s="16" t="str">
        <x:v>Production</x:v>
      </x:c>
      <x:c r="E56" s="16" t="str">
        <x:v>Line Supervisor</x:v>
      </x:c>
      <x:c r="F56" s="16" t="str">
        <x:v>Gazipur Plant</x:v>
      </x:c>
      <x:c r="G56" s="16" t="str">
        <x:v>Permanent</x:v>
      </x:c>
      <x:c r="H56" s="35" t="n">
        <x:v>43905</x:v>
      </x:c>
      <x:c r="I56" s="35" t="n">
        <x:v>45716</x:v>
      </x:c>
      <x:c r="J56" s="16" t="str">
        <x:v>Better Opportunity</x:v>
      </x:c>
      <x:c r="K56" s="16" t="str">
        <x:f>IF(I56="","Active","Exited")</x:f>
        <x:v>Exited</x:v>
      </x:c>
      <x:c r="L56" s="16" t="n">
        <x:f>(YEAR(IF(I56="",TODAY(),I56))-YEAR(H56))*12+MONTH(IF(I56="",TODAY(),I56))-MONTH(H56)</x:f>
        <x:v>59</x:v>
      </x:c>
      <x:c r="M56" s="36" t="n">
        <x:f>DATE(YEAR(H56),MONTH(H56),1)</x:f>
        <x:v>43891</x:v>
      </x:c>
      <x:c r="N56" s="36" t="n">
        <x:f>IF(I56="","",DATE(YEAR(I56),MONTH(I56),1))</x:f>
        <x:v>45689</x:v>
      </x:c>
    </x:row>
    <x:row r="57">
      <x:c r="A57" s="16" t="str">
        <x:v>HG-01056</x:v>
      </x:c>
      <x:c r="B57" s="16" t="str">
        <x:v>Nayeem Islam</x:v>
      </x:c>
      <x:c r="C57" s="16" t="str">
        <x:v>Male</x:v>
      </x:c>
      <x:c r="D57" s="16" t="str">
        <x:v>Human Resources</x:v>
      </x:c>
      <x:c r="E57" s="16" t="str">
        <x:v>HR Executive</x:v>
      </x:c>
      <x:c r="F57" s="16" t="str">
        <x:v>Dhaka Head Office</x:v>
      </x:c>
      <x:c r="G57" s="16" t="str">
        <x:v>Permanent</x:v>
      </x:c>
      <x:c r="H57" s="35" t="n">
        <x:v>43928</x:v>
      </x:c>
      <x:c r="I57" s="35"/>
      <x:c r="J57" s="16" t="str"/>
      <x:c r="K57" s="16" t="str">
        <x:f>IF(I57="","Active","Exited")</x:f>
        <x:v>Active</x:v>
      </x:c>
      <x:c r="L57" s="16" t="n">
        <x:f>(YEAR(IF(I57="",TODAY(),I57))-YEAR(H57))*12+MONTH(IF(I57="",TODAY(),I57))-MONTH(H57)</x:f>
        <x:v>75</x:v>
      </x:c>
      <x:c r="M57" s="36" t="n">
        <x:f>DATE(YEAR(H57),MONTH(H57),1)</x:f>
        <x:v>43922</x:v>
      </x:c>
      <x:c r="N57" s="36" t="str">
        <x:f>IF(I57="","",DATE(YEAR(I57),MONTH(I57),1))</x:f>
      </x:c>
    </x:row>
    <x:row r="58">
      <x:c r="A58" s="16" t="str">
        <x:v>HG-01057</x:v>
      </x:c>
      <x:c r="B58" s="16" t="str">
        <x:v>Mahmud Kabir</x:v>
      </x:c>
      <x:c r="C58" s="16" t="str">
        <x:v>Male</x:v>
      </x:c>
      <x:c r="D58" s="16" t="str">
        <x:v>Information Technology</x:v>
      </x:c>
      <x:c r="E58" s="16" t="str">
        <x:v>Data Analyst</x:v>
      </x:c>
      <x:c r="F58" s="16" t="str">
        <x:v>Dhaka Head Office</x:v>
      </x:c>
      <x:c r="G58" s="16" t="str">
        <x:v>Contract</x:v>
      </x:c>
      <x:c r="H58" s="35" t="n">
        <x:v>43618</x:v>
      </x:c>
      <x:c r="I58" s="35" t="n">
        <x:v>45899</x:v>
      </x:c>
      <x:c r="J58" s="16" t="str">
        <x:v>Better Opportunity</x:v>
      </x:c>
      <x:c r="K58" s="16" t="str">
        <x:f>IF(I58="","Active","Exited")</x:f>
        <x:v>Exited</x:v>
      </x:c>
      <x:c r="L58" s="16" t="n">
        <x:f>(YEAR(IF(I58="",TODAY(),I58))-YEAR(H58))*12+MONTH(IF(I58="",TODAY(),I58))-MONTH(H58)</x:f>
        <x:v>74</x:v>
      </x:c>
      <x:c r="M58" s="36" t="n">
        <x:f>DATE(YEAR(H58),MONTH(H58),1)</x:f>
        <x:v>43617</x:v>
      </x:c>
      <x:c r="N58" s="36" t="n">
        <x:f>IF(I58="","",DATE(YEAR(I58),MONTH(I58),1))</x:f>
        <x:v>45870</x:v>
      </x:c>
    </x:row>
    <x:row r="59">
      <x:c r="A59" s="16" t="str">
        <x:v>HG-01058</x:v>
      </x:c>
      <x:c r="B59" s="16" t="str">
        <x:v>Imran Ahmed</x:v>
      </x:c>
      <x:c r="C59" s="16" t="str">
        <x:v>Male</x:v>
      </x:c>
      <x:c r="D59" s="16" t="str">
        <x:v>Production</x:v>
      </x:c>
      <x:c r="E59" s="16" t="str">
        <x:v>Production Operator</x:v>
      </x:c>
      <x:c r="F59" s="16" t="str">
        <x:v>Chattogram Office</x:v>
      </x:c>
      <x:c r="G59" s="16" t="str">
        <x:v>Permanent</x:v>
      </x:c>
      <x:c r="H59" s="35" t="n">
        <x:v>43285</x:v>
      </x:c>
      <x:c r="I59" s="35" t="n">
        <x:v>45883</x:v>
      </x:c>
      <x:c r="J59" s="16" t="str">
        <x:v>Career Growth</x:v>
      </x:c>
      <x:c r="K59" s="16" t="str">
        <x:f>IF(I59="","Active","Exited")</x:f>
        <x:v>Exited</x:v>
      </x:c>
      <x:c r="L59" s="16" t="n">
        <x:f>(YEAR(IF(I59="",TODAY(),I59))-YEAR(H59))*12+MONTH(IF(I59="",TODAY(),I59))-MONTH(H59)</x:f>
        <x:v>85</x:v>
      </x:c>
      <x:c r="M59" s="36" t="n">
        <x:f>DATE(YEAR(H59),MONTH(H59),1)</x:f>
        <x:v>43282</x:v>
      </x:c>
      <x:c r="N59" s="36" t="n">
        <x:f>IF(I59="","",DATE(YEAR(I59),MONTH(I59),1))</x:f>
        <x:v>45870</x:v>
      </x:c>
    </x:row>
    <x:row r="60">
      <x:c r="A60" s="16" t="str">
        <x:v>HG-01059</x:v>
      </x:c>
      <x:c r="B60" s="16" t="str">
        <x:v>Mahmud Begum</x:v>
      </x:c>
      <x:c r="C60" s="16" t="str">
        <x:v>Male</x:v>
      </x:c>
      <x:c r="D60" s="16" t="str">
        <x:v>Production</x:v>
      </x:c>
      <x:c r="E60" s="16" t="str">
        <x:v>Senior Operator</x:v>
      </x:c>
      <x:c r="F60" s="16" t="str">
        <x:v>Narayanganj Plant</x:v>
      </x:c>
      <x:c r="G60" s="16" t="str">
        <x:v>Permanent</x:v>
      </x:c>
      <x:c r="H60" s="35" t="n">
        <x:v>42933</x:v>
      </x:c>
      <x:c r="I60" s="35"/>
      <x:c r="J60" s="16" t="str"/>
      <x:c r="K60" s="16" t="str">
        <x:f>IF(I60="","Active","Exited")</x:f>
        <x:v>Active</x:v>
      </x:c>
      <x:c r="L60" s="16" t="n">
        <x:f>(YEAR(IF(I60="",TODAY(),I60))-YEAR(H60))*12+MONTH(IF(I60="",TODAY(),I60))-MONTH(H60)</x:f>
        <x:v>108</x:v>
      </x:c>
      <x:c r="M60" s="36" t="n">
        <x:f>DATE(YEAR(H60),MONTH(H60),1)</x:f>
        <x:v>42917</x:v>
      </x:c>
      <x:c r="N60" s="36" t="str">
        <x:f>IF(I60="","",DATE(YEAR(I60),MONTH(I60),1))</x:f>
      </x:c>
    </x:row>
    <x:row r="61">
      <x:c r="A61" s="16" t="str">
        <x:v>HG-01060</x:v>
      </x:c>
      <x:c r="B61" s="16" t="str">
        <x:v>Mizan Uddin</x:v>
      </x:c>
      <x:c r="C61" s="16" t="str">
        <x:v>Male</x:v>
      </x:c>
      <x:c r="D61" s="16" t="str">
        <x:v>Production</x:v>
      </x:c>
      <x:c r="E61" s="16" t="str">
        <x:v>Production Operator</x:v>
      </x:c>
      <x:c r="F61" s="16" t="str">
        <x:v>Gazipur Plant</x:v>
      </x:c>
      <x:c r="G61" s="16" t="str">
        <x:v>Permanent</x:v>
      </x:c>
      <x:c r="H61" s="35" t="n">
        <x:v>44846</x:v>
      </x:c>
      <x:c r="I61" s="35"/>
      <x:c r="J61" s="16" t="str"/>
      <x:c r="K61" s="16" t="str">
        <x:f>IF(I61="","Active","Exited")</x:f>
        <x:v>Active</x:v>
      </x:c>
      <x:c r="L61" s="16" t="n">
        <x:f>(YEAR(IF(I61="",TODAY(),I61))-YEAR(H61))*12+MONTH(IF(I61="",TODAY(),I61))-MONTH(H61)</x:f>
        <x:v>45</x:v>
      </x:c>
      <x:c r="M61" s="36" t="n">
        <x:f>DATE(YEAR(H61),MONTH(H61),1)</x:f>
        <x:v>44835</x:v>
      </x:c>
      <x:c r="N61" s="36" t="str">
        <x:f>IF(I61="","",DATE(YEAR(I61),MONTH(I61),1))</x:f>
      </x:c>
    </x:row>
    <x:row r="62">
      <x:c r="A62" s="16" t="str">
        <x:v>HG-01061</x:v>
      </x:c>
      <x:c r="B62" s="16" t="str">
        <x:v>Tanvir Alam</x:v>
      </x:c>
      <x:c r="C62" s="16" t="str">
        <x:v>Male</x:v>
      </x:c>
      <x:c r="D62" s="16" t="str">
        <x:v>Supply Chain</x:v>
      </x:c>
      <x:c r="E62" s="16" t="str">
        <x:v>Assistant Manager - Supply Chain</x:v>
      </x:c>
      <x:c r="F62" s="16" t="str">
        <x:v>Narayanganj Plant</x:v>
      </x:c>
      <x:c r="G62" s="16" t="str">
        <x:v>Contract</x:v>
      </x:c>
      <x:c r="H62" s="35" t="n">
        <x:v>42949</x:v>
      </x:c>
      <x:c r="I62" s="35"/>
      <x:c r="J62" s="16" t="str"/>
      <x:c r="K62" s="16" t="str">
        <x:f>IF(I62="","Active","Exited")</x:f>
        <x:v>Active</x:v>
      </x:c>
      <x:c r="L62" s="16" t="n">
        <x:f>(YEAR(IF(I62="",TODAY(),I62))-YEAR(H62))*12+MONTH(IF(I62="",TODAY(),I62))-MONTH(H62)</x:f>
        <x:v>107</x:v>
      </x:c>
      <x:c r="M62" s="36" t="n">
        <x:f>DATE(YEAR(H62),MONTH(H62),1)</x:f>
        <x:v>42948</x:v>
      </x:c>
      <x:c r="N62" s="36" t="str">
        <x:f>IF(I62="","",DATE(YEAR(I62),MONTH(I62),1))</x:f>
      </x:c>
    </x:row>
    <x:row r="63">
      <x:c r="A63" s="16" t="str">
        <x:v>HG-01062</x:v>
      </x:c>
      <x:c r="B63" s="16" t="str">
        <x:v>Hasan Hossain</x:v>
      </x:c>
      <x:c r="C63" s="16" t="str">
        <x:v>Male</x:v>
      </x:c>
      <x:c r="D63" s="16" t="str">
        <x:v>Production</x:v>
      </x:c>
      <x:c r="E63" s="16" t="str">
        <x:v>Production Officer</x:v>
      </x:c>
      <x:c r="F63" s="16" t="str">
        <x:v>Narayanganj Plant</x:v>
      </x:c>
      <x:c r="G63" s="16" t="str">
        <x:v>Contract</x:v>
      </x:c>
      <x:c r="H63" s="35" t="n">
        <x:v>44028</x:v>
      </x:c>
      <x:c r="I63" s="35"/>
      <x:c r="J63" s="16" t="str"/>
      <x:c r="K63" s="16" t="str">
        <x:f>IF(I63="","Active","Exited")</x:f>
        <x:v>Active</x:v>
      </x:c>
      <x:c r="L63" s="16" t="n">
        <x:f>(YEAR(IF(I63="",TODAY(),I63))-YEAR(H63))*12+MONTH(IF(I63="",TODAY(),I63))-MONTH(H63)</x:f>
        <x:v>72</x:v>
      </x:c>
      <x:c r="M63" s="36" t="n">
        <x:f>DATE(YEAR(H63),MONTH(H63),1)</x:f>
        <x:v>44013</x:v>
      </x:c>
      <x:c r="N63" s="36" t="str">
        <x:f>IF(I63="","",DATE(YEAR(I63),MONTH(I63),1))</x:f>
      </x:c>
    </x:row>
    <x:row r="64">
      <x:c r="A64" s="16" t="str">
        <x:v>HG-01063</x:v>
      </x:c>
      <x:c r="B64" s="16" t="str">
        <x:v>Sabbir Kabir</x:v>
      </x:c>
      <x:c r="C64" s="16" t="str">
        <x:v>Male</x:v>
      </x:c>
      <x:c r="D64" s="16" t="str">
        <x:v>Production</x:v>
      </x:c>
      <x:c r="E64" s="16" t="str">
        <x:v>Assistant Manager - Production</x:v>
      </x:c>
      <x:c r="F64" s="16" t="str">
        <x:v>Gazipur Plant</x:v>
      </x:c>
      <x:c r="G64" s="16" t="str">
        <x:v>Contract</x:v>
      </x:c>
      <x:c r="H64" s="35" t="n">
        <x:v>43215</x:v>
      </x:c>
      <x:c r="I64" s="35"/>
      <x:c r="J64" s="16" t="str"/>
      <x:c r="K64" s="16" t="str">
        <x:f>IF(I64="","Active","Exited")</x:f>
        <x:v>Active</x:v>
      </x:c>
      <x:c r="L64" s="16" t="n">
        <x:f>(YEAR(IF(I64="",TODAY(),I64))-YEAR(H64))*12+MONTH(IF(I64="",TODAY(),I64))-MONTH(H64)</x:f>
        <x:v>99</x:v>
      </x:c>
      <x:c r="M64" s="36" t="n">
        <x:f>DATE(YEAR(H64),MONTH(H64),1)</x:f>
        <x:v>43191</x:v>
      </x:c>
      <x:c r="N64" s="36" t="str">
        <x:f>IF(I64="","",DATE(YEAR(I64),MONTH(I64),1))</x:f>
      </x:c>
    </x:row>
    <x:row r="65">
      <x:c r="A65" s="16" t="str">
        <x:v>HG-01064</x:v>
      </x:c>
      <x:c r="B65" s="16" t="str">
        <x:v>Nabila Rahman</x:v>
      </x:c>
      <x:c r="C65" s="16" t="str">
        <x:v>Female</x:v>
      </x:c>
      <x:c r="D65" s="16" t="str">
        <x:v>Production</x:v>
      </x:c>
      <x:c r="E65" s="16" t="str">
        <x:v>Production Officer</x:v>
      </x:c>
      <x:c r="F65" s="16" t="str">
        <x:v>Narayanganj Plant</x:v>
      </x:c>
      <x:c r="G65" s="16" t="str">
        <x:v>Permanent</x:v>
      </x:c>
      <x:c r="H65" s="35" t="n">
        <x:v>43102</x:v>
      </x:c>
      <x:c r="I65" s="35"/>
      <x:c r="J65" s="16" t="str"/>
      <x:c r="K65" s="16" t="str">
        <x:f>IF(I65="","Active","Exited")</x:f>
        <x:v>Active</x:v>
      </x:c>
      <x:c r="L65" s="16" t="n">
        <x:f>(YEAR(IF(I65="",TODAY(),I65))-YEAR(H65))*12+MONTH(IF(I65="",TODAY(),I65))-MONTH(H65)</x:f>
        <x:v>102</x:v>
      </x:c>
      <x:c r="M65" s="36" t="n">
        <x:f>DATE(YEAR(H65),MONTH(H65),1)</x:f>
        <x:v>43101</x:v>
      </x:c>
      <x:c r="N65" s="36" t="str">
        <x:f>IF(I65="","",DATE(YEAR(I65),MONTH(I65),1))</x:f>
      </x:c>
    </x:row>
    <x:row r="66">
      <x:c r="A66" s="16" t="str">
        <x:v>HG-01065</x:v>
      </x:c>
      <x:c r="B66" s="16" t="str">
        <x:v>Shakil Akter</x:v>
      </x:c>
      <x:c r="C66" s="16" t="str">
        <x:v>Male</x:v>
      </x:c>
      <x:c r="D66" s="16" t="str">
        <x:v>Supply Chain</x:v>
      </x:c>
      <x:c r="E66" s="16" t="str">
        <x:v>Procurement Executive</x:v>
      </x:c>
      <x:c r="F66" s="16" t="str">
        <x:v>Narayanganj Plant</x:v>
      </x:c>
      <x:c r="G66" s="16" t="str">
        <x:v>Contract</x:v>
      </x:c>
      <x:c r="H66" s="35" t="n">
        <x:v>45088</x:v>
      </x:c>
      <x:c r="I66" s="35"/>
      <x:c r="J66" s="16" t="str"/>
      <x:c r="K66" s="16" t="str">
        <x:f>IF(I66="","Active","Exited")</x:f>
        <x:v>Active</x:v>
      </x:c>
      <x:c r="L66" s="16" t="n">
        <x:f>(YEAR(IF(I66="",TODAY(),I66))-YEAR(H66))*12+MONTH(IF(I66="",TODAY(),I66))-MONTH(H66)</x:f>
        <x:v>37</x:v>
      </x:c>
      <x:c r="M66" s="36" t="n">
        <x:f>DATE(YEAR(H66),MONTH(H66),1)</x:f>
        <x:v>45078</x:v>
      </x:c>
      <x:c r="N66" s="36" t="str">
        <x:f>IF(I66="","",DATE(YEAR(I66),MONTH(I66),1))</x:f>
      </x:c>
    </x:row>
    <x:row r="67">
      <x:c r="A67" s="16" t="str">
        <x:v>HG-01066</x:v>
      </x:c>
      <x:c r="B67" s="16" t="str">
        <x:v>Sharmin Miah</x:v>
      </x:c>
      <x:c r="C67" s="16" t="str">
        <x:v>Female</x:v>
      </x:c>
      <x:c r="D67" s="16" t="str">
        <x:v>Quality Assurance</x:v>
      </x:c>
      <x:c r="E67" s="16" t="str">
        <x:v>Quality Inspector</x:v>
      </x:c>
      <x:c r="F67" s="16" t="str">
        <x:v>Narayanganj Plant</x:v>
      </x:c>
      <x:c r="G67" s="16" t="str">
        <x:v>Permanent</x:v>
      </x:c>
      <x:c r="H67" s="35" t="n">
        <x:v>44764</x:v>
      </x:c>
      <x:c r="I67" s="35"/>
      <x:c r="J67" s="16" t="str"/>
      <x:c r="K67" s="16" t="str">
        <x:f>IF(I67="","Active","Exited")</x:f>
        <x:v>Active</x:v>
      </x:c>
      <x:c r="L67" s="16" t="n">
        <x:f>(YEAR(IF(I67="",TODAY(),I67))-YEAR(H67))*12+MONTH(IF(I67="",TODAY(),I67))-MONTH(H67)</x:f>
        <x:v>48</x:v>
      </x:c>
      <x:c r="M67" s="36" t="n">
        <x:f>DATE(YEAR(H67),MONTH(H67),1)</x:f>
        <x:v>44743</x:v>
      </x:c>
      <x:c r="N67" s="36" t="str">
        <x:f>IF(I67="","",DATE(YEAR(I67),MONTH(I67),1))</x:f>
      </x:c>
    </x:row>
    <x:row r="68">
      <x:c r="A68" s="16" t="str">
        <x:v>HG-01067</x:v>
      </x:c>
      <x:c r="B68" s="16" t="str">
        <x:v>Mim Miah</x:v>
      </x:c>
      <x:c r="C68" s="16" t="str">
        <x:v>Female</x:v>
      </x:c>
      <x:c r="D68" s="16" t="str">
        <x:v>Sales &amp; Marketing</x:v>
      </x:c>
      <x:c r="E68" s="16" t="str">
        <x:v>Assistant Manager - Sales</x:v>
      </x:c>
      <x:c r="F68" s="16" t="str">
        <x:v>Dhaka Head Office</x:v>
      </x:c>
      <x:c r="G68" s="16" t="str">
        <x:v>Probation</x:v>
      </x:c>
      <x:c r="H68" s="35" t="n">
        <x:v>43418</x:v>
      </x:c>
      <x:c r="I68" s="35"/>
      <x:c r="J68" s="16" t="str"/>
      <x:c r="K68" s="16" t="str">
        <x:f>IF(I68="","Active","Exited")</x:f>
        <x:v>Active</x:v>
      </x:c>
      <x:c r="L68" s="16" t="n">
        <x:f>(YEAR(IF(I68="",TODAY(),I68))-YEAR(H68))*12+MONTH(IF(I68="",TODAY(),I68))-MONTH(H68)</x:f>
        <x:v>92</x:v>
      </x:c>
      <x:c r="M68" s="36" t="n">
        <x:f>DATE(YEAR(H68),MONTH(H68),1)</x:f>
        <x:v>43405</x:v>
      </x:c>
      <x:c r="N68" s="36" t="str">
        <x:f>IF(I68="","",DATE(YEAR(I68),MONTH(I68),1))</x:f>
      </x:c>
    </x:row>
    <x:row r="69">
      <x:c r="A69" s="16" t="str">
        <x:v>HG-01068</x:v>
      </x:c>
      <x:c r="B69" s="16" t="str">
        <x:v>Farhan Akter</x:v>
      </x:c>
      <x:c r="C69" s="16" t="str">
        <x:v>Male</x:v>
      </x:c>
      <x:c r="D69" s="16" t="str">
        <x:v>Sales &amp; Marketing</x:v>
      </x:c>
      <x:c r="E69" s="16" t="str">
        <x:v>Assistant Manager - Sales</x:v>
      </x:c>
      <x:c r="F69" s="16" t="str">
        <x:v>Dhaka Head Office</x:v>
      </x:c>
      <x:c r="G69" s="16" t="str">
        <x:v>Permanent</x:v>
      </x:c>
      <x:c r="H69" s="35" t="n">
        <x:v>45634</x:v>
      </x:c>
      <x:c r="I69" s="35"/>
      <x:c r="J69" s="16" t="str"/>
      <x:c r="K69" s="16" t="str">
        <x:f>IF(I69="","Active","Exited")</x:f>
        <x:v>Active</x:v>
      </x:c>
      <x:c r="L69" s="16" t="n">
        <x:f>(YEAR(IF(I69="",TODAY(),I69))-YEAR(H69))*12+MONTH(IF(I69="",TODAY(),I69))-MONTH(H69)</x:f>
        <x:v>19</x:v>
      </x:c>
      <x:c r="M69" s="36" t="n">
        <x:f>DATE(YEAR(H69),MONTH(H69),1)</x:f>
        <x:v>45627</x:v>
      </x:c>
      <x:c r="N69" s="36" t="str">
        <x:f>IF(I69="","",DATE(YEAR(I69),MONTH(I69),1))</x:f>
      </x:c>
    </x:row>
    <x:row r="70">
      <x:c r="A70" s="16" t="str">
        <x:v>HG-01069</x:v>
      </x:c>
      <x:c r="B70" s="16" t="str">
        <x:v>Rashed Alam</x:v>
      </x:c>
      <x:c r="C70" s="16" t="str">
        <x:v>Male</x:v>
      </x:c>
      <x:c r="D70" s="16" t="str">
        <x:v>Administration</x:v>
      </x:c>
      <x:c r="E70" s="16" t="str">
        <x:v>Facility Officer</x:v>
      </x:c>
      <x:c r="F70" s="16" t="str">
        <x:v>Chattogram Office</x:v>
      </x:c>
      <x:c r="G70" s="16" t="str">
        <x:v>Permanent</x:v>
      </x:c>
      <x:c r="H70" s="35" t="n">
        <x:v>45657</x:v>
      </x:c>
      <x:c r="I70" s="35" t="n">
        <x:v>46165</x:v>
      </x:c>
      <x:c r="J70" s="16" t="str">
        <x:v>Career Growth</x:v>
      </x:c>
      <x:c r="K70" s="16" t="str">
        <x:f>IF(I70="","Active","Exited")</x:f>
        <x:v>Exited</x:v>
      </x:c>
      <x:c r="L70" s="16" t="n">
        <x:f>(YEAR(IF(I70="",TODAY(),I70))-YEAR(H70))*12+MONTH(IF(I70="",TODAY(),I70))-MONTH(H70)</x:f>
        <x:v>17</x:v>
      </x:c>
      <x:c r="M70" s="36" t="n">
        <x:f>DATE(YEAR(H70),MONTH(H70),1)</x:f>
        <x:v>45627</x:v>
      </x:c>
      <x:c r="N70" s="36" t="n">
        <x:f>IF(I70="","",DATE(YEAR(I70),MONTH(I70),1))</x:f>
        <x:v>46143</x:v>
      </x:c>
    </x:row>
    <x:row r="71">
      <x:c r="A71" s="16" t="str">
        <x:v>HG-01070</x:v>
      </x:c>
      <x:c r="B71" s="16" t="str">
        <x:v>Rakib Begum</x:v>
      </x:c>
      <x:c r="C71" s="16" t="str">
        <x:v>Male</x:v>
      </x:c>
      <x:c r="D71" s="16" t="str">
        <x:v>Finance &amp; Accounts</x:v>
      </x:c>
      <x:c r="E71" s="16" t="str">
        <x:v>Payroll Executive</x:v>
      </x:c>
      <x:c r="F71" s="16" t="str">
        <x:v>Dhaka Head Office</x:v>
      </x:c>
      <x:c r="G71" s="16" t="str">
        <x:v>Contract</x:v>
      </x:c>
      <x:c r="H71" s="35" t="n">
        <x:v>45633</x:v>
      </x:c>
      <x:c r="I71" s="35"/>
      <x:c r="J71" s="16" t="str"/>
      <x:c r="K71" s="16" t="str">
        <x:f>IF(I71="","Active","Exited")</x:f>
        <x:v>Active</x:v>
      </x:c>
      <x:c r="L71" s="16" t="n">
        <x:f>(YEAR(IF(I71="",TODAY(),I71))-YEAR(H71))*12+MONTH(IF(I71="",TODAY(),I71))-MONTH(H71)</x:f>
        <x:v>19</x:v>
      </x:c>
      <x:c r="M71" s="36" t="n">
        <x:f>DATE(YEAR(H71),MONTH(H71),1)</x:f>
        <x:v>45627</x:v>
      </x:c>
      <x:c r="N71" s="36" t="str">
        <x:f>IF(I71="","",DATE(YEAR(I71),MONTH(I71),1))</x:f>
      </x:c>
    </x:row>
    <x:row r="72">
      <x:c r="A72" s="16" t="str">
        <x:v>HG-01071</x:v>
      </x:c>
      <x:c r="B72" s="16" t="str">
        <x:v>Tanvir Miah</x:v>
      </x:c>
      <x:c r="C72" s="16" t="str">
        <x:v>Male</x:v>
      </x:c>
      <x:c r="D72" s="16" t="str">
        <x:v>Sales &amp; Marketing</x:v>
      </x:c>
      <x:c r="E72" s="16" t="str">
        <x:v>Marketing Officer</x:v>
      </x:c>
      <x:c r="F72" s="16" t="str">
        <x:v>Chattogram Office</x:v>
      </x:c>
      <x:c r="G72" s="16" t="str">
        <x:v>Contract</x:v>
      </x:c>
      <x:c r="H72" s="35" t="n">
        <x:v>43539</x:v>
      </x:c>
      <x:c r="I72" s="35"/>
      <x:c r="J72" s="16" t="str"/>
      <x:c r="K72" s="16" t="str">
        <x:f>IF(I72="","Active","Exited")</x:f>
        <x:v>Active</x:v>
      </x:c>
      <x:c r="L72" s="16" t="n">
        <x:f>(YEAR(IF(I72="",TODAY(),I72))-YEAR(H72))*12+MONTH(IF(I72="",TODAY(),I72))-MONTH(H72)</x:f>
        <x:v>88</x:v>
      </x:c>
      <x:c r="M72" s="36" t="n">
        <x:f>DATE(YEAR(H72),MONTH(H72),1)</x:f>
        <x:v>43525</x:v>
      </x:c>
      <x:c r="N72" s="36" t="str">
        <x:f>IF(I72="","",DATE(YEAR(I72),MONTH(I72),1))</x:f>
      </x:c>
    </x:row>
    <x:row r="73">
      <x:c r="A73" s="16" t="str">
        <x:v>HG-01072</x:v>
      </x:c>
      <x:c r="B73" s="16" t="str">
        <x:v>Mehedi Sarker</x:v>
      </x:c>
      <x:c r="C73" s="16" t="str">
        <x:v>Male</x:v>
      </x:c>
      <x:c r="D73" s="16" t="str">
        <x:v>Administration</x:v>
      </x:c>
      <x:c r="E73" s="16" t="str">
        <x:v>Admin Executive</x:v>
      </x:c>
      <x:c r="F73" s="16" t="str">
        <x:v>Dhaka Head Office</x:v>
      </x:c>
      <x:c r="G73" s="16" t="str">
        <x:v>Probation</x:v>
      </x:c>
      <x:c r="H73" s="35" t="n">
        <x:v>42888</x:v>
      </x:c>
      <x:c r="I73" s="35"/>
      <x:c r="J73" s="16" t="str"/>
      <x:c r="K73" s="16" t="str">
        <x:f>IF(I73="","Active","Exited")</x:f>
        <x:v>Active</x:v>
      </x:c>
      <x:c r="L73" s="16" t="n">
        <x:f>(YEAR(IF(I73="",TODAY(),I73))-YEAR(H73))*12+MONTH(IF(I73="",TODAY(),I73))-MONTH(H73)</x:f>
        <x:v>109</x:v>
      </x:c>
      <x:c r="M73" s="36" t="n">
        <x:f>DATE(YEAR(H73),MONTH(H73),1)</x:f>
        <x:v>42887</x:v>
      </x:c>
      <x:c r="N73" s="36" t="str">
        <x:f>IF(I73="","",DATE(YEAR(I73),MONTH(I73),1))</x:f>
      </x:c>
    </x:row>
    <x:row r="74">
      <x:c r="A74" s="16" t="str">
        <x:v>HG-01073</x:v>
      </x:c>
      <x:c r="B74" s="16" t="str">
        <x:v>Asif Uddin</x:v>
      </x:c>
      <x:c r="C74" s="16" t="str">
        <x:v>Male</x:v>
      </x:c>
      <x:c r="D74" s="16" t="str">
        <x:v>Production</x:v>
      </x:c>
      <x:c r="E74" s="16" t="str">
        <x:v>Production Officer</x:v>
      </x:c>
      <x:c r="F74" s="16" t="str">
        <x:v>Narayanganj Plant</x:v>
      </x:c>
      <x:c r="G74" s="16" t="str">
        <x:v>Contract</x:v>
      </x:c>
      <x:c r="H74" s="35" t="n">
        <x:v>45328</x:v>
      </x:c>
      <x:c r="I74" s="35"/>
      <x:c r="J74" s="16" t="str"/>
      <x:c r="K74" s="16" t="str">
        <x:f>IF(I74="","Active","Exited")</x:f>
        <x:v>Active</x:v>
      </x:c>
      <x:c r="L74" s="16" t="n">
        <x:f>(YEAR(IF(I74="",TODAY(),I74))-YEAR(H74))*12+MONTH(IF(I74="",TODAY(),I74))-MONTH(H74)</x:f>
        <x:v>29</x:v>
      </x:c>
      <x:c r="M74" s="36" t="n">
        <x:f>DATE(YEAR(H74),MONTH(H74),1)</x:f>
        <x:v>45323</x:v>
      </x:c>
      <x:c r="N74" s="36" t="str">
        <x:f>IF(I74="","",DATE(YEAR(I74),MONTH(I74),1))</x:f>
      </x:c>
    </x:row>
    <x:row r="75">
      <x:c r="A75" s="16" t="str">
        <x:v>HG-01074</x:v>
      </x:c>
      <x:c r="B75" s="16" t="str">
        <x:v>Sadika Islam</x:v>
      </x:c>
      <x:c r="C75" s="16" t="str">
        <x:v>Female</x:v>
      </x:c>
      <x:c r="D75" s="16" t="str">
        <x:v>Production</x:v>
      </x:c>
      <x:c r="E75" s="16" t="str">
        <x:v>Line Supervisor</x:v>
      </x:c>
      <x:c r="F75" s="16" t="str">
        <x:v>Gazipur Plant</x:v>
      </x:c>
      <x:c r="G75" s="16" t="str">
        <x:v>Contract</x:v>
      </x:c>
      <x:c r="H75" s="35" t="n">
        <x:v>43112</x:v>
      </x:c>
      <x:c r="I75" s="35" t="n">
        <x:v>45825</x:v>
      </x:c>
      <x:c r="J75" s="16" t="str">
        <x:v>Work-Life Balance</x:v>
      </x:c>
      <x:c r="K75" s="16" t="str">
        <x:f>IF(I75="","Active","Exited")</x:f>
        <x:v>Exited</x:v>
      </x:c>
      <x:c r="L75" s="16" t="n">
        <x:f>(YEAR(IF(I75="",TODAY(),I75))-YEAR(H75))*12+MONTH(IF(I75="",TODAY(),I75))-MONTH(H75)</x:f>
        <x:v>89</x:v>
      </x:c>
      <x:c r="M75" s="36" t="n">
        <x:f>DATE(YEAR(H75),MONTH(H75),1)</x:f>
        <x:v>43101</x:v>
      </x:c>
      <x:c r="N75" s="36" t="n">
        <x:f>IF(I75="","",DATE(YEAR(I75),MONTH(I75),1))</x:f>
        <x:v>45809</x:v>
      </x:c>
    </x:row>
    <x:row r="76">
      <x:c r="A76" s="16" t="str">
        <x:v>HG-01075</x:v>
      </x:c>
      <x:c r="B76" s="16" t="str">
        <x:v>Sumaiya Rahman</x:v>
      </x:c>
      <x:c r="C76" s="16" t="str">
        <x:v>Female</x:v>
      </x:c>
      <x:c r="D76" s="16" t="str">
        <x:v>Production</x:v>
      </x:c>
      <x:c r="E76" s="16" t="str">
        <x:v>Senior Operator</x:v>
      </x:c>
      <x:c r="F76" s="16" t="str">
        <x:v>Narayanganj Plant</x:v>
      </x:c>
      <x:c r="G76" s="16" t="str">
        <x:v>Permanent</x:v>
      </x:c>
      <x:c r="H76" s="35" t="n">
        <x:v>43149</x:v>
      </x:c>
      <x:c r="I76" s="35"/>
      <x:c r="J76" s="16" t="str"/>
      <x:c r="K76" s="16" t="str">
        <x:f>IF(I76="","Active","Exited")</x:f>
        <x:v>Active</x:v>
      </x:c>
      <x:c r="L76" s="16" t="n">
        <x:f>(YEAR(IF(I76="",TODAY(),I76))-YEAR(H76))*12+MONTH(IF(I76="",TODAY(),I76))-MONTH(H76)</x:f>
        <x:v>101</x:v>
      </x:c>
      <x:c r="M76" s="36" t="n">
        <x:f>DATE(YEAR(H76),MONTH(H76),1)</x:f>
        <x:v>43132</x:v>
      </x:c>
      <x:c r="N76" s="36" t="str">
        <x:f>IF(I76="","",DATE(YEAR(I76),MONTH(I76),1))</x:f>
      </x:c>
    </x:row>
    <x:row r="77">
      <x:c r="A77" s="16" t="str">
        <x:v>HG-01076</x:v>
      </x:c>
      <x:c r="B77" s="16" t="str">
        <x:v>Rakib Chowdhury</x:v>
      </x:c>
      <x:c r="C77" s="16" t="str">
        <x:v>Male</x:v>
      </x:c>
      <x:c r="D77" s="16" t="str">
        <x:v>Production</x:v>
      </x:c>
      <x:c r="E77" s="16" t="str">
        <x:v>Production Operator</x:v>
      </x:c>
      <x:c r="F77" s="16" t="str">
        <x:v>Gazipur Plant</x:v>
      </x:c>
      <x:c r="G77" s="16" t="str">
        <x:v>Permanent</x:v>
      </x:c>
      <x:c r="H77" s="35" t="n">
        <x:v>44886</x:v>
      </x:c>
      <x:c r="I77" s="35" t="n">
        <x:v>45967</x:v>
      </x:c>
      <x:c r="J77" s="16" t="str">
        <x:v>Relocation</x:v>
      </x:c>
      <x:c r="K77" s="16" t="str">
        <x:f>IF(I77="","Active","Exited")</x:f>
        <x:v>Exited</x:v>
      </x:c>
      <x:c r="L77" s="16" t="n">
        <x:f>(YEAR(IF(I77="",TODAY(),I77))-YEAR(H77))*12+MONTH(IF(I77="",TODAY(),I77))-MONTH(H77)</x:f>
        <x:v>36</x:v>
      </x:c>
      <x:c r="M77" s="36" t="n">
        <x:f>DATE(YEAR(H77),MONTH(H77),1)</x:f>
        <x:v>44866</x:v>
      </x:c>
      <x:c r="N77" s="36" t="n">
        <x:f>IF(I77="","",DATE(YEAR(I77),MONTH(I77),1))</x:f>
        <x:v>45962</x:v>
      </x:c>
    </x:row>
    <x:row r="78">
      <x:c r="A78" s="16" t="str">
        <x:v>HG-01077</x:v>
      </x:c>
      <x:c r="B78" s="16" t="str">
        <x:v>Arif Ahmed</x:v>
      </x:c>
      <x:c r="C78" s="16" t="str">
        <x:v>Male</x:v>
      </x:c>
      <x:c r="D78" s="16" t="str">
        <x:v>Production</x:v>
      </x:c>
      <x:c r="E78" s="16" t="str">
        <x:v>Assistant Manager - Production</x:v>
      </x:c>
      <x:c r="F78" s="16" t="str">
        <x:v>Narayanganj Plant</x:v>
      </x:c>
      <x:c r="G78" s="16" t="str">
        <x:v>Permanent</x:v>
      </x:c>
      <x:c r="H78" s="35" t="n">
        <x:v>43538</x:v>
      </x:c>
      <x:c r="I78" s="35"/>
      <x:c r="J78" s="16" t="str"/>
      <x:c r="K78" s="16" t="str">
        <x:f>IF(I78="","Active","Exited")</x:f>
        <x:v>Active</x:v>
      </x:c>
      <x:c r="L78" s="16" t="n">
        <x:f>(YEAR(IF(I78="",TODAY(),I78))-YEAR(H78))*12+MONTH(IF(I78="",TODAY(),I78))-MONTH(H78)</x:f>
        <x:v>88</x:v>
      </x:c>
      <x:c r="M78" s="36" t="n">
        <x:f>DATE(YEAR(H78),MONTH(H78),1)</x:f>
        <x:v>43525</x:v>
      </x:c>
      <x:c r="N78" s="36" t="str">
        <x:f>IF(I78="","",DATE(YEAR(I78),MONTH(I78),1))</x:f>
      </x:c>
    </x:row>
    <x:row r="79">
      <x:c r="A79" s="16" t="str">
        <x:v>HG-01078</x:v>
      </x:c>
      <x:c r="B79" s="16" t="str">
        <x:v>Nayeem Sarker</x:v>
      </x:c>
      <x:c r="C79" s="16" t="str">
        <x:v>Male</x:v>
      </x:c>
      <x:c r="D79" s="16" t="str">
        <x:v>Quality Assurance</x:v>
      </x:c>
      <x:c r="E79" s="16" t="str">
        <x:v>Compliance Executive</x:v>
      </x:c>
      <x:c r="F79" s="16" t="str">
        <x:v>Narayanganj Plant</x:v>
      </x:c>
      <x:c r="G79" s="16" t="str">
        <x:v>Permanent</x:v>
      </x:c>
      <x:c r="H79" s="35" t="n">
        <x:v>42961</x:v>
      </x:c>
      <x:c r="I79" s="35"/>
      <x:c r="J79" s="16" t="str"/>
      <x:c r="K79" s="16" t="str">
        <x:f>IF(I79="","Active","Exited")</x:f>
        <x:v>Active</x:v>
      </x:c>
      <x:c r="L79" s="16" t="n">
        <x:f>(YEAR(IF(I79="",TODAY(),I79))-YEAR(H79))*12+MONTH(IF(I79="",TODAY(),I79))-MONTH(H79)</x:f>
        <x:v>107</x:v>
      </x:c>
      <x:c r="M79" s="36" t="n">
        <x:f>DATE(YEAR(H79),MONTH(H79),1)</x:f>
        <x:v>42948</x:v>
      </x:c>
      <x:c r="N79" s="36" t="str">
        <x:f>IF(I79="","",DATE(YEAR(I79),MONTH(I79),1))</x:f>
      </x:c>
    </x:row>
    <x:row r="80">
      <x:c r="A80" s="16" t="str">
        <x:v>HG-01079</x:v>
      </x:c>
      <x:c r="B80" s="16" t="str">
        <x:v>Nayeem Alam</x:v>
      </x:c>
      <x:c r="C80" s="16" t="str">
        <x:v>Male</x:v>
      </x:c>
      <x:c r="D80" s="16" t="str">
        <x:v>Production</x:v>
      </x:c>
      <x:c r="E80" s="16" t="str">
        <x:v>Production Officer</x:v>
      </x:c>
      <x:c r="F80" s="16" t="str">
        <x:v>Gazipur Plant</x:v>
      </x:c>
      <x:c r="G80" s="16" t="str">
        <x:v>Permanent</x:v>
      </x:c>
      <x:c r="H80" s="35" t="n">
        <x:v>44473</x:v>
      </x:c>
      <x:c r="I80" s="35"/>
      <x:c r="J80" s="16" t="str"/>
      <x:c r="K80" s="16" t="str">
        <x:f>IF(I80="","Active","Exited")</x:f>
        <x:v>Active</x:v>
      </x:c>
      <x:c r="L80" s="16" t="n">
        <x:f>(YEAR(IF(I80="",TODAY(),I80))-YEAR(H80))*12+MONTH(IF(I80="",TODAY(),I80))-MONTH(H80)</x:f>
        <x:v>57</x:v>
      </x:c>
      <x:c r="M80" s="36" t="n">
        <x:f>DATE(YEAR(H80),MONTH(H80),1)</x:f>
        <x:v>44470</x:v>
      </x:c>
      <x:c r="N80" s="36" t="str">
        <x:f>IF(I80="","",DATE(YEAR(I80),MONTH(I80),1))</x:f>
      </x:c>
    </x:row>
    <x:row r="81">
      <x:c r="A81" s="16" t="str">
        <x:v>HG-01080</x:v>
      </x:c>
      <x:c r="B81" s="16" t="str">
        <x:v>Sabbir Rahman</x:v>
      </x:c>
      <x:c r="C81" s="16" t="str">
        <x:v>Male</x:v>
      </x:c>
      <x:c r="D81" s="16" t="str">
        <x:v>Finance &amp; Accounts</x:v>
      </x:c>
      <x:c r="E81" s="16" t="str">
        <x:v>Senior Accounts Executive</x:v>
      </x:c>
      <x:c r="F81" s="16" t="str">
        <x:v>Narayanganj Plant</x:v>
      </x:c>
      <x:c r="G81" s="16" t="str">
        <x:v>Permanent</x:v>
      </x:c>
      <x:c r="H81" s="35" t="n">
        <x:v>45466</x:v>
      </x:c>
      <x:c r="I81" s="35"/>
      <x:c r="J81" s="16" t="str"/>
      <x:c r="K81" s="16" t="str">
        <x:f>IF(I81="","Active","Exited")</x:f>
        <x:v>Active</x:v>
      </x:c>
      <x:c r="L81" s="16" t="n">
        <x:f>(YEAR(IF(I81="",TODAY(),I81))-YEAR(H81))*12+MONTH(IF(I81="",TODAY(),I81))-MONTH(H81)</x:f>
        <x:v>25</x:v>
      </x:c>
      <x:c r="M81" s="36" t="n">
        <x:f>DATE(YEAR(H81),MONTH(H81),1)</x:f>
        <x:v>45444</x:v>
      </x:c>
      <x:c r="N81" s="36" t="str">
        <x:f>IF(I81="","",DATE(YEAR(I81),MONTH(I81),1))</x:f>
      </x:c>
    </x:row>
    <x:row r="82">
      <x:c r="A82" s="16" t="str">
        <x:v>HG-01081</x:v>
      </x:c>
      <x:c r="B82" s="16" t="str">
        <x:v>Tanvir Hasan</x:v>
      </x:c>
      <x:c r="C82" s="16" t="str">
        <x:v>Male</x:v>
      </x:c>
      <x:c r="D82" s="16" t="str">
        <x:v>Production</x:v>
      </x:c>
      <x:c r="E82" s="16" t="str">
        <x:v>Senior Operator</x:v>
      </x:c>
      <x:c r="F82" s="16" t="str">
        <x:v>Gazipur Plant</x:v>
      </x:c>
      <x:c r="G82" s="16" t="str">
        <x:v>Permanent</x:v>
      </x:c>
      <x:c r="H82" s="35" t="n">
        <x:v>44693</x:v>
      </x:c>
      <x:c r="I82" s="35"/>
      <x:c r="J82" s="16" t="str"/>
      <x:c r="K82" s="16" t="str">
        <x:f>IF(I82="","Active","Exited")</x:f>
        <x:v>Active</x:v>
      </x:c>
      <x:c r="L82" s="16" t="n">
        <x:f>(YEAR(IF(I82="",TODAY(),I82))-YEAR(H82))*12+MONTH(IF(I82="",TODAY(),I82))-MONTH(H82)</x:f>
        <x:v>50</x:v>
      </x:c>
      <x:c r="M82" s="36" t="n">
        <x:f>DATE(YEAR(H82),MONTH(H82),1)</x:f>
        <x:v>44682</x:v>
      </x:c>
      <x:c r="N82" s="36" t="str">
        <x:f>IF(I82="","",DATE(YEAR(I82),MONTH(I82),1))</x:f>
      </x:c>
    </x:row>
    <x:row r="83">
      <x:c r="A83" s="16" t="str">
        <x:v>HG-01082</x:v>
      </x:c>
      <x:c r="B83" s="16" t="str">
        <x:v>Jannat Karim</x:v>
      </x:c>
      <x:c r="C83" s="16" t="str">
        <x:v>Female</x:v>
      </x:c>
      <x:c r="D83" s="16" t="str">
        <x:v>Production</x:v>
      </x:c>
      <x:c r="E83" s="16" t="str">
        <x:v>Production Operator</x:v>
      </x:c>
      <x:c r="F83" s="16" t="str">
        <x:v>Dhaka Head Office</x:v>
      </x:c>
      <x:c r="G83" s="16" t="str">
        <x:v>Permanent</x:v>
      </x:c>
      <x:c r="H83" s="35" t="n">
        <x:v>42973</x:v>
      </x:c>
      <x:c r="I83" s="35"/>
      <x:c r="J83" s="16" t="str"/>
      <x:c r="K83" s="16" t="str">
        <x:f>IF(I83="","Active","Exited")</x:f>
        <x:v>Active</x:v>
      </x:c>
      <x:c r="L83" s="16" t="n">
        <x:f>(YEAR(IF(I83="",TODAY(),I83))-YEAR(H83))*12+MONTH(IF(I83="",TODAY(),I83))-MONTH(H83)</x:f>
        <x:v>107</x:v>
      </x:c>
      <x:c r="M83" s="36" t="n">
        <x:f>DATE(YEAR(H83),MONTH(H83),1)</x:f>
        <x:v>42948</x:v>
      </x:c>
      <x:c r="N83" s="36" t="str">
        <x:f>IF(I83="","",DATE(YEAR(I83),MONTH(I83),1))</x:f>
      </x:c>
    </x:row>
    <x:row r="84">
      <x:c r="A84" s="16" t="str">
        <x:v>HG-01083</x:v>
      </x:c>
      <x:c r="B84" s="16" t="str">
        <x:v>Farhan Sarker</x:v>
      </x:c>
      <x:c r="C84" s="16" t="str">
        <x:v>Male</x:v>
      </x:c>
      <x:c r="D84" s="16" t="str">
        <x:v>Production</x:v>
      </x:c>
      <x:c r="E84" s="16" t="str">
        <x:v>Production Operator</x:v>
      </x:c>
      <x:c r="F84" s="16" t="str">
        <x:v>Gazipur Plant</x:v>
      </x:c>
      <x:c r="G84" s="16" t="str">
        <x:v>Permanent</x:v>
      </x:c>
      <x:c r="H84" s="35" t="n">
        <x:v>43522</x:v>
      </x:c>
      <x:c r="I84" s="35" t="n">
        <x:v>46082</x:v>
      </x:c>
      <x:c r="J84" s="16" t="str">
        <x:v>Work-Life Balance</x:v>
      </x:c>
      <x:c r="K84" s="16" t="str">
        <x:f>IF(I84="","Active","Exited")</x:f>
        <x:v>Exited</x:v>
      </x:c>
      <x:c r="L84" s="16" t="n">
        <x:f>(YEAR(IF(I84="",TODAY(),I84))-YEAR(H84))*12+MONTH(IF(I84="",TODAY(),I84))-MONTH(H84)</x:f>
        <x:v>85</x:v>
      </x:c>
      <x:c r="M84" s="36" t="n">
        <x:f>DATE(YEAR(H84),MONTH(H84),1)</x:f>
        <x:v>43497</x:v>
      </x:c>
      <x:c r="N84" s="36" t="n">
        <x:f>IF(I84="","",DATE(YEAR(I84),MONTH(I84),1))</x:f>
        <x:v>46082</x:v>
      </x:c>
    </x:row>
    <x:row r="85">
      <x:c r="A85" s="16" t="str">
        <x:v>HG-01084</x:v>
      </x:c>
      <x:c r="B85" s="16" t="str">
        <x:v>Rashed Miah</x:v>
      </x:c>
      <x:c r="C85" s="16" t="str">
        <x:v>Male</x:v>
      </x:c>
      <x:c r="D85" s="16" t="str">
        <x:v>Production</x:v>
      </x:c>
      <x:c r="E85" s="16" t="str">
        <x:v>Assistant Manager - Production</x:v>
      </x:c>
      <x:c r="F85" s="16" t="str">
        <x:v>Narayanganj Plant</x:v>
      </x:c>
      <x:c r="G85" s="16" t="str">
        <x:v>Permanent</x:v>
      </x:c>
      <x:c r="H85" s="35" t="n">
        <x:v>43457</x:v>
      </x:c>
      <x:c r="I85" s="35"/>
      <x:c r="J85" s="16" t="str"/>
      <x:c r="K85" s="16" t="str">
        <x:f>IF(I85="","Active","Exited")</x:f>
        <x:v>Active</x:v>
      </x:c>
      <x:c r="L85" s="16" t="n">
        <x:f>(YEAR(IF(I85="",TODAY(),I85))-YEAR(H85))*12+MONTH(IF(I85="",TODAY(),I85))-MONTH(H85)</x:f>
        <x:v>91</x:v>
      </x:c>
      <x:c r="M85" s="36" t="n">
        <x:f>DATE(YEAR(H85),MONTH(H85),1)</x:f>
        <x:v>43435</x:v>
      </x:c>
      <x:c r="N85" s="36" t="str">
        <x:f>IF(I85="","",DATE(YEAR(I85),MONTH(I85),1))</x:f>
      </x:c>
    </x:row>
    <x:row r="86">
      <x:c r="A86" s="16" t="str">
        <x:v>HG-01085</x:v>
      </x:c>
      <x:c r="B86" s="16" t="str">
        <x:v>Mehedi Hasan</x:v>
      </x:c>
      <x:c r="C86" s="16" t="str">
        <x:v>Male</x:v>
      </x:c>
      <x:c r="D86" s="16" t="str">
        <x:v>Quality Assurance</x:v>
      </x:c>
      <x:c r="E86" s="16" t="str">
        <x:v>Quality Inspector</x:v>
      </x:c>
      <x:c r="F86" s="16" t="str">
        <x:v>Gazipur Plant</x:v>
      </x:c>
      <x:c r="G86" s="16" t="str">
        <x:v>Permanent</x:v>
      </x:c>
      <x:c r="H86" s="35" t="n">
        <x:v>43604</x:v>
      </x:c>
      <x:c r="I86" s="35"/>
      <x:c r="J86" s="16" t="str"/>
      <x:c r="K86" s="16" t="str">
        <x:f>IF(I86="","Active","Exited")</x:f>
        <x:v>Active</x:v>
      </x:c>
      <x:c r="L86" s="16" t="n">
        <x:f>(YEAR(IF(I86="",TODAY(),I86))-YEAR(H86))*12+MONTH(IF(I86="",TODAY(),I86))-MONTH(H86)</x:f>
        <x:v>86</x:v>
      </x:c>
      <x:c r="M86" s="36" t="n">
        <x:f>DATE(YEAR(H86),MONTH(H86),1)</x:f>
        <x:v>43586</x:v>
      </x:c>
      <x:c r="N86" s="36" t="str">
        <x:f>IF(I86="","",DATE(YEAR(I86),MONTH(I86),1))</x:f>
      </x:c>
    </x:row>
    <x:row r="87">
      <x:c r="A87" s="16" t="str">
        <x:v>HG-01086</x:v>
      </x:c>
      <x:c r="B87" s="16" t="str">
        <x:v>Rumana Rahman</x:v>
      </x:c>
      <x:c r="C87" s="16" t="str">
        <x:v>Female</x:v>
      </x:c>
      <x:c r="D87" s="16" t="str">
        <x:v>Administration</x:v>
      </x:c>
      <x:c r="E87" s="16" t="str">
        <x:v>Admin Assistant</x:v>
      </x:c>
      <x:c r="F87" s="16" t="str">
        <x:v>Gazipur Plant</x:v>
      </x:c>
      <x:c r="G87" s="16" t="str">
        <x:v>Permanent</x:v>
      </x:c>
      <x:c r="H87" s="35" t="n">
        <x:v>42997</x:v>
      </x:c>
      <x:c r="I87" s="35"/>
      <x:c r="J87" s="16" t="str"/>
      <x:c r="K87" s="16" t="str">
        <x:f>IF(I87="","Active","Exited")</x:f>
        <x:v>Active</x:v>
      </x:c>
      <x:c r="L87" s="16" t="n">
        <x:f>(YEAR(IF(I87="",TODAY(),I87))-YEAR(H87))*12+MONTH(IF(I87="",TODAY(),I87))-MONTH(H87)</x:f>
        <x:v>106</x:v>
      </x:c>
      <x:c r="M87" s="36" t="n">
        <x:f>DATE(YEAR(H87),MONTH(H87),1)</x:f>
        <x:v>42979</x:v>
      </x:c>
      <x:c r="N87" s="36" t="str">
        <x:f>IF(I87="","",DATE(YEAR(I87),MONTH(I87),1))</x:f>
      </x:c>
    </x:row>
    <x:row r="88">
      <x:c r="A88" s="16" t="str">
        <x:v>HG-01087</x:v>
      </x:c>
      <x:c r="B88" s="16" t="str">
        <x:v>Mizan Miah</x:v>
      </x:c>
      <x:c r="C88" s="16" t="str">
        <x:v>Male</x:v>
      </x:c>
      <x:c r="D88" s="16" t="str">
        <x:v>Sales &amp; Marketing</x:v>
      </x:c>
      <x:c r="E88" s="16" t="str">
        <x:v>Key Account Executive</x:v>
      </x:c>
      <x:c r="F88" s="16" t="str">
        <x:v>Dhaka Head Office</x:v>
      </x:c>
      <x:c r="G88" s="16" t="str">
        <x:v>Contract</x:v>
      </x:c>
      <x:c r="H88" s="35" t="n">
        <x:v>43153</x:v>
      </x:c>
      <x:c r="I88" s="35"/>
      <x:c r="J88" s="16" t="str"/>
      <x:c r="K88" s="16" t="str">
        <x:f>IF(I88="","Active","Exited")</x:f>
        <x:v>Active</x:v>
      </x:c>
      <x:c r="L88" s="16" t="n">
        <x:f>(YEAR(IF(I88="",TODAY(),I88))-YEAR(H88))*12+MONTH(IF(I88="",TODAY(),I88))-MONTH(H88)</x:f>
        <x:v>101</x:v>
      </x:c>
      <x:c r="M88" s="36" t="n">
        <x:f>DATE(YEAR(H88),MONTH(H88),1)</x:f>
        <x:v>43132</x:v>
      </x:c>
      <x:c r="N88" s="36" t="str">
        <x:f>IF(I88="","",DATE(YEAR(I88),MONTH(I88),1))</x:f>
      </x:c>
    </x:row>
    <x:row r="89">
      <x:c r="A89" s="16" t="str">
        <x:v>HG-01088</x:v>
      </x:c>
      <x:c r="B89" s="16" t="str">
        <x:v>Nabila Ahmed</x:v>
      </x:c>
      <x:c r="C89" s="16" t="str">
        <x:v>Female</x:v>
      </x:c>
      <x:c r="D89" s="16" t="str">
        <x:v>Administration</x:v>
      </x:c>
      <x:c r="E89" s="16" t="str">
        <x:v>Senior Admin Executive</x:v>
      </x:c>
      <x:c r="F89" s="16" t="str">
        <x:v>Narayanganj Plant</x:v>
      </x:c>
      <x:c r="G89" s="16" t="str">
        <x:v>Permanent</x:v>
      </x:c>
      <x:c r="H89" s="35" t="n">
        <x:v>43041</x:v>
      </x:c>
      <x:c r="I89" s="35" t="n">
        <x:v>46010</x:v>
      </x:c>
      <x:c r="J89" s="16" t="str">
        <x:v>Supervisor / Management</x:v>
      </x:c>
      <x:c r="K89" s="16" t="str">
        <x:f>IF(I89="","Active","Exited")</x:f>
        <x:v>Exited</x:v>
      </x:c>
      <x:c r="L89" s="16" t="n">
        <x:f>(YEAR(IF(I89="",TODAY(),I89))-YEAR(H89))*12+MONTH(IF(I89="",TODAY(),I89))-MONTH(H89)</x:f>
        <x:v>97</x:v>
      </x:c>
      <x:c r="M89" s="36" t="n">
        <x:f>DATE(YEAR(H89),MONTH(H89),1)</x:f>
        <x:v>43040</x:v>
      </x:c>
      <x:c r="N89" s="36" t="n">
        <x:f>IF(I89="","",DATE(YEAR(I89),MONTH(I89),1))</x:f>
        <x:v>45992</x:v>
      </x:c>
    </x:row>
    <x:row r="90">
      <x:c r="A90" s="16" t="str">
        <x:v>HG-01089</x:v>
      </x:c>
      <x:c r="B90" s="16" t="str">
        <x:v>Tanvir Miah</x:v>
      </x:c>
      <x:c r="C90" s="16" t="str">
        <x:v>Male</x:v>
      </x:c>
      <x:c r="D90" s="16" t="str">
        <x:v>Quality Assurance</x:v>
      </x:c>
      <x:c r="E90" s="16" t="str">
        <x:v>Quality Inspector</x:v>
      </x:c>
      <x:c r="F90" s="16" t="str">
        <x:v>Narayanganj Plant</x:v>
      </x:c>
      <x:c r="G90" s="16" t="str">
        <x:v>Permanent</x:v>
      </x:c>
      <x:c r="H90" s="35" t="n">
        <x:v>44447</x:v>
      </x:c>
      <x:c r="I90" s="35"/>
      <x:c r="J90" s="16" t="str"/>
      <x:c r="K90" s="16" t="str">
        <x:f>IF(I90="","Active","Exited")</x:f>
        <x:v>Active</x:v>
      </x:c>
      <x:c r="L90" s="16" t="n">
        <x:f>(YEAR(IF(I90="",TODAY(),I90))-YEAR(H90))*12+MONTH(IF(I90="",TODAY(),I90))-MONTH(H90)</x:f>
        <x:v>58</x:v>
      </x:c>
      <x:c r="M90" s="36" t="n">
        <x:f>DATE(YEAR(H90),MONTH(H90),1)</x:f>
        <x:v>44440</x:v>
      </x:c>
      <x:c r="N90" s="36" t="str">
        <x:f>IF(I90="","",DATE(YEAR(I90),MONTH(I90),1))</x:f>
      </x:c>
    </x:row>
    <x:row r="91">
      <x:c r="A91" s="16" t="str">
        <x:v>HG-01090</x:v>
      </x:c>
      <x:c r="B91" s="16" t="str">
        <x:v>Nayeem Chowdhury</x:v>
      </x:c>
      <x:c r="C91" s="16" t="str">
        <x:v>Male</x:v>
      </x:c>
      <x:c r="D91" s="16" t="str">
        <x:v>Quality Assurance</x:v>
      </x:c>
      <x:c r="E91" s="16" t="str">
        <x:v>Senior QA Executive</x:v>
      </x:c>
      <x:c r="F91" s="16" t="str">
        <x:v>Dhaka Head Office</x:v>
      </x:c>
      <x:c r="G91" s="16" t="str">
        <x:v>Permanent</x:v>
      </x:c>
      <x:c r="H91" s="35" t="n">
        <x:v>43858</x:v>
      </x:c>
      <x:c r="I91" s="35"/>
      <x:c r="J91" s="16" t="str"/>
      <x:c r="K91" s="16" t="str">
        <x:f>IF(I91="","Active","Exited")</x:f>
        <x:v>Active</x:v>
      </x:c>
      <x:c r="L91" s="16" t="n">
        <x:f>(YEAR(IF(I91="",TODAY(),I91))-YEAR(H91))*12+MONTH(IF(I91="",TODAY(),I91))-MONTH(H91)</x:f>
        <x:v>78</x:v>
      </x:c>
      <x:c r="M91" s="36" t="n">
        <x:f>DATE(YEAR(H91),MONTH(H91),1)</x:f>
        <x:v>43831</x:v>
      </x:c>
      <x:c r="N91" s="36" t="str">
        <x:f>IF(I91="","",DATE(YEAR(I91),MONTH(I91),1))</x:f>
      </x:c>
    </x:row>
    <x:row r="92">
      <x:c r="A92" s="16" t="str">
        <x:v>HG-01091</x:v>
      </x:c>
      <x:c r="B92" s="16" t="str">
        <x:v>Imran Miah</x:v>
      </x:c>
      <x:c r="C92" s="16" t="str">
        <x:v>Male</x:v>
      </x:c>
      <x:c r="D92" s="16" t="str">
        <x:v>Human Resources</x:v>
      </x:c>
      <x:c r="E92" s="16" t="str">
        <x:v>HR Executive</x:v>
      </x:c>
      <x:c r="F92" s="16" t="str">
        <x:v>Dhaka Head Office</x:v>
      </x:c>
      <x:c r="G92" s="16" t="str">
        <x:v>Contract</x:v>
      </x:c>
      <x:c r="H92" s="35" t="n">
        <x:v>44661</x:v>
      </x:c>
      <x:c r="I92" s="35"/>
      <x:c r="J92" s="16" t="str"/>
      <x:c r="K92" s="16" t="str">
        <x:f>IF(I92="","Active","Exited")</x:f>
        <x:v>Active</x:v>
      </x:c>
      <x:c r="L92" s="16" t="n">
        <x:f>(YEAR(IF(I92="",TODAY(),I92))-YEAR(H92))*12+MONTH(IF(I92="",TODAY(),I92))-MONTH(H92)</x:f>
        <x:v>51</x:v>
      </x:c>
      <x:c r="M92" s="36" t="n">
        <x:f>DATE(YEAR(H92),MONTH(H92),1)</x:f>
        <x:v>44652</x:v>
      </x:c>
      <x:c r="N92" s="36" t="str">
        <x:f>IF(I92="","",DATE(YEAR(I92),MONTH(I92),1))</x:f>
      </x:c>
    </x:row>
    <x:row r="93">
      <x:c r="A93" s="16" t="str">
        <x:v>HG-01092</x:v>
      </x:c>
      <x:c r="B93" s="16" t="str">
        <x:v>Fahim Sarker</x:v>
      </x:c>
      <x:c r="C93" s="16" t="str">
        <x:v>Male</x:v>
      </x:c>
      <x:c r="D93" s="16" t="str">
        <x:v>Administration</x:v>
      </x:c>
      <x:c r="E93" s="16" t="str">
        <x:v>Admin Executive</x:v>
      </x:c>
      <x:c r="F93" s="16" t="str">
        <x:v>Dhaka Head Office</x:v>
      </x:c>
      <x:c r="G93" s="16" t="str">
        <x:v>Permanent</x:v>
      </x:c>
      <x:c r="H93" s="35" t="n">
        <x:v>42856</x:v>
      </x:c>
      <x:c r="I93" s="35" t="n">
        <x:v>45934</x:v>
      </x:c>
      <x:c r="J93" s="16" t="str">
        <x:v>Career Growth</x:v>
      </x:c>
      <x:c r="K93" s="16" t="str">
        <x:f>IF(I93="","Active","Exited")</x:f>
        <x:v>Exited</x:v>
      </x:c>
      <x:c r="L93" s="16" t="n">
        <x:f>(YEAR(IF(I93="",TODAY(),I93))-YEAR(H93))*12+MONTH(IF(I93="",TODAY(),I93))-MONTH(H93)</x:f>
        <x:v>101</x:v>
      </x:c>
      <x:c r="M93" s="36" t="n">
        <x:f>DATE(YEAR(H93),MONTH(H93),1)</x:f>
        <x:v>42856</x:v>
      </x:c>
      <x:c r="N93" s="36" t="n">
        <x:f>IF(I93="","",DATE(YEAR(I93),MONTH(I93),1))</x:f>
        <x:v>45931</x:v>
      </x:c>
    </x:row>
    <x:row r="94">
      <x:c r="A94" s="16" t="str">
        <x:v>HG-01093</x:v>
      </x:c>
      <x:c r="B94" s="16" t="str">
        <x:v>Nayeem Kabir</x:v>
      </x:c>
      <x:c r="C94" s="16" t="str">
        <x:v>Male</x:v>
      </x:c>
      <x:c r="D94" s="16" t="str">
        <x:v>Supply Chain</x:v>
      </x:c>
      <x:c r="E94" s="16" t="str">
        <x:v>Procurement Executive</x:v>
      </x:c>
      <x:c r="F94" s="16" t="str">
        <x:v>Chattogram Office</x:v>
      </x:c>
      <x:c r="G94" s="16" t="str">
        <x:v>Contract</x:v>
      </x:c>
      <x:c r="H94" s="35" t="n">
        <x:v>43913</x:v>
      </x:c>
      <x:c r="I94" s="35" t="n">
        <x:v>46087</x:v>
      </x:c>
      <x:c r="J94" s="16" t="str">
        <x:v>Relocation</x:v>
      </x:c>
      <x:c r="K94" s="16" t="str">
        <x:f>IF(I94="","Active","Exited")</x:f>
        <x:v>Exited</x:v>
      </x:c>
      <x:c r="L94" s="16" t="n">
        <x:f>(YEAR(IF(I94="",TODAY(),I94))-YEAR(H94))*12+MONTH(IF(I94="",TODAY(),I94))-MONTH(H94)</x:f>
        <x:v>72</x:v>
      </x:c>
      <x:c r="M94" s="36" t="n">
        <x:f>DATE(YEAR(H94),MONTH(H94),1)</x:f>
        <x:v>43891</x:v>
      </x:c>
      <x:c r="N94" s="36" t="n">
        <x:f>IF(I94="","",DATE(YEAR(I94),MONTH(I94),1))</x:f>
        <x:v>46082</x:v>
      </x:c>
    </x:row>
    <x:row r="95">
      <x:c r="A95" s="16" t="str">
        <x:v>HG-01094</x:v>
      </x:c>
      <x:c r="B95" s="16" t="str">
        <x:v>Shakil Khan</x:v>
      </x:c>
      <x:c r="C95" s="16" t="str">
        <x:v>Male</x:v>
      </x:c>
      <x:c r="D95" s="16" t="str">
        <x:v>Administration</x:v>
      </x:c>
      <x:c r="E95" s="16" t="str">
        <x:v>Senior Admin Executive</x:v>
      </x:c>
      <x:c r="F95" s="16" t="str">
        <x:v>Gazipur Plant</x:v>
      </x:c>
      <x:c r="G95" s="16" t="str">
        <x:v>Permanent</x:v>
      </x:c>
      <x:c r="H95" s="35" t="n">
        <x:v>44938</x:v>
      </x:c>
      <x:c r="I95" s="35" t="n">
        <x:v>45972</x:v>
      </x:c>
      <x:c r="J95" s="16" t="str">
        <x:v>Personal / Family</x:v>
      </x:c>
      <x:c r="K95" s="16" t="str">
        <x:f>IF(I95="","Active","Exited")</x:f>
        <x:v>Exited</x:v>
      </x:c>
      <x:c r="L95" s="16" t="n">
        <x:f>(YEAR(IF(I95="",TODAY(),I95))-YEAR(H95))*12+MONTH(IF(I95="",TODAY(),I95))-MONTH(H95)</x:f>
        <x:v>34</x:v>
      </x:c>
      <x:c r="M95" s="36" t="n">
        <x:f>DATE(YEAR(H95),MONTH(H95),1)</x:f>
        <x:v>44927</x:v>
      </x:c>
      <x:c r="N95" s="36" t="n">
        <x:f>IF(I95="","",DATE(YEAR(I95),MONTH(I95),1))</x:f>
        <x:v>45962</x:v>
      </x:c>
    </x:row>
    <x:row r="96">
      <x:c r="A96" s="16" t="str">
        <x:v>HG-01095</x:v>
      </x:c>
      <x:c r="B96" s="16" t="str">
        <x:v>Jubayer Uddin</x:v>
      </x:c>
      <x:c r="C96" s="16" t="str">
        <x:v>Male</x:v>
      </x:c>
      <x:c r="D96" s="16" t="str">
        <x:v>Sales &amp; Marketing</x:v>
      </x:c>
      <x:c r="E96" s="16" t="str">
        <x:v>Sales Executive</x:v>
      </x:c>
      <x:c r="F96" s="16" t="str">
        <x:v>Dhaka Head Office</x:v>
      </x:c>
      <x:c r="G96" s="16" t="str">
        <x:v>Permanent</x:v>
      </x:c>
      <x:c r="H96" s="35" t="n">
        <x:v>44578</x:v>
      </x:c>
      <x:c r="I96" s="35"/>
      <x:c r="J96" s="16" t="str"/>
      <x:c r="K96" s="16" t="str">
        <x:f>IF(I96="","Active","Exited")</x:f>
        <x:v>Active</x:v>
      </x:c>
      <x:c r="L96" s="16" t="n">
        <x:f>(YEAR(IF(I96="",TODAY(),I96))-YEAR(H96))*12+MONTH(IF(I96="",TODAY(),I96))-MONTH(H96)</x:f>
        <x:v>54</x:v>
      </x:c>
      <x:c r="M96" s="36" t="n">
        <x:f>DATE(YEAR(H96),MONTH(H96),1)</x:f>
        <x:v>44562</x:v>
      </x:c>
      <x:c r="N96" s="36" t="str">
        <x:f>IF(I96="","",DATE(YEAR(I96),MONTH(I96),1))</x:f>
      </x:c>
    </x:row>
    <x:row r="97">
      <x:c r="A97" s="16" t="str">
        <x:v>HG-01096</x:v>
      </x:c>
      <x:c r="B97" s="16" t="str">
        <x:v>Imran Kabir</x:v>
      </x:c>
      <x:c r="C97" s="16" t="str">
        <x:v>Male</x:v>
      </x:c>
      <x:c r="D97" s="16" t="str">
        <x:v>Finance &amp; Accounts</x:v>
      </x:c>
      <x:c r="E97" s="16" t="str">
        <x:v>Accounts Executive</x:v>
      </x:c>
      <x:c r="F97" s="16" t="str">
        <x:v>Dhaka Head Office</x:v>
      </x:c>
      <x:c r="G97" s="16" t="str">
        <x:v>Contract</x:v>
      </x:c>
      <x:c r="H97" s="35" t="n">
        <x:v>45473</x:v>
      </x:c>
      <x:c r="I97" s="35"/>
      <x:c r="J97" s="16" t="str"/>
      <x:c r="K97" s="16" t="str">
        <x:f>IF(I97="","Active","Exited")</x:f>
        <x:v>Active</x:v>
      </x:c>
      <x:c r="L97" s="16" t="n">
        <x:f>(YEAR(IF(I97="",TODAY(),I97))-YEAR(H97))*12+MONTH(IF(I97="",TODAY(),I97))-MONTH(H97)</x:f>
        <x:v>25</x:v>
      </x:c>
      <x:c r="M97" s="36" t="n">
        <x:f>DATE(YEAR(H97),MONTH(H97),1)</x:f>
        <x:v>45444</x:v>
      </x:c>
      <x:c r="N97" s="36" t="str">
        <x:f>IF(I97="","",DATE(YEAR(I97),MONTH(I97),1))</x:f>
      </x:c>
    </x:row>
    <x:row r="98">
      <x:c r="A98" s="16" t="str">
        <x:v>HG-01097</x:v>
      </x:c>
      <x:c r="B98" s="16" t="str">
        <x:v>Shakil Khan</x:v>
      </x:c>
      <x:c r="C98" s="16" t="str">
        <x:v>Male</x:v>
      </x:c>
      <x:c r="D98" s="16" t="str">
        <x:v>Production</x:v>
      </x:c>
      <x:c r="E98" s="16" t="str">
        <x:v>Line Supervisor</x:v>
      </x:c>
      <x:c r="F98" s="16" t="str">
        <x:v>Gazipur Plant</x:v>
      </x:c>
      <x:c r="G98" s="16" t="str">
        <x:v>Probation</x:v>
      </x:c>
      <x:c r="H98" s="35" t="n">
        <x:v>43089</x:v>
      </x:c>
      <x:c r="I98" s="35"/>
      <x:c r="J98" s="16" t="str"/>
      <x:c r="K98" s="16" t="str">
        <x:f>IF(I98="","Active","Exited")</x:f>
        <x:v>Active</x:v>
      </x:c>
      <x:c r="L98" s="16" t="n">
        <x:f>(YEAR(IF(I98="",TODAY(),I98))-YEAR(H98))*12+MONTH(IF(I98="",TODAY(),I98))-MONTH(H98)</x:f>
        <x:v>103</x:v>
      </x:c>
      <x:c r="M98" s="36" t="n">
        <x:f>DATE(YEAR(H98),MONTH(H98),1)</x:f>
        <x:v>43070</x:v>
      </x:c>
      <x:c r="N98" s="36" t="str">
        <x:f>IF(I98="","",DATE(YEAR(I98),MONTH(I98),1))</x:f>
      </x:c>
    </x:row>
    <x:row r="99">
      <x:c r="A99" s="16" t="str">
        <x:v>HG-01098</x:v>
      </x:c>
      <x:c r="B99" s="16" t="str">
        <x:v>Nazmul Islam</x:v>
      </x:c>
      <x:c r="C99" s="16" t="str">
        <x:v>Male</x:v>
      </x:c>
      <x:c r="D99" s="16" t="str">
        <x:v>Supply Chain</x:v>
      </x:c>
      <x:c r="E99" s="16" t="str">
        <x:v>Inventory Officer</x:v>
      </x:c>
      <x:c r="F99" s="16" t="str">
        <x:v>Gazipur Plant</x:v>
      </x:c>
      <x:c r="G99" s="16" t="str">
        <x:v>Contract</x:v>
      </x:c>
      <x:c r="H99" s="35" t="n">
        <x:v>43979</x:v>
      </x:c>
      <x:c r="I99" s="35"/>
      <x:c r="J99" s="16" t="str"/>
      <x:c r="K99" s="16" t="str">
        <x:f>IF(I99="","Active","Exited")</x:f>
        <x:v>Active</x:v>
      </x:c>
      <x:c r="L99" s="16" t="n">
        <x:f>(YEAR(IF(I99="",TODAY(),I99))-YEAR(H99))*12+MONTH(IF(I99="",TODAY(),I99))-MONTH(H99)</x:f>
        <x:v>74</x:v>
      </x:c>
      <x:c r="M99" s="36" t="n">
        <x:f>DATE(YEAR(H99),MONTH(H99),1)</x:f>
        <x:v>43952</x:v>
      </x:c>
      <x:c r="N99" s="36" t="str">
        <x:f>IF(I99="","",DATE(YEAR(I99),MONTH(I99),1))</x:f>
      </x:c>
    </x:row>
    <x:row r="100">
      <x:c r="A100" s="16" t="str">
        <x:v>HG-01099</x:v>
      </x:c>
      <x:c r="B100" s="16" t="str">
        <x:v>Arif Akter</x:v>
      </x:c>
      <x:c r="C100" s="16" t="str">
        <x:v>Male</x:v>
      </x:c>
      <x:c r="D100" s="16" t="str">
        <x:v>Administration</x:v>
      </x:c>
      <x:c r="E100" s="16" t="str">
        <x:v>Admin Assistant</x:v>
      </x:c>
      <x:c r="F100" s="16" t="str">
        <x:v>Dhaka Head Office</x:v>
      </x:c>
      <x:c r="G100" s="16" t="str">
        <x:v>Permanent</x:v>
      </x:c>
      <x:c r="H100" s="35" t="n">
        <x:v>45034</x:v>
      </x:c>
      <x:c r="I100" s="35"/>
      <x:c r="J100" s="16" t="str"/>
      <x:c r="K100" s="16" t="str">
        <x:f>IF(I100="","Active","Exited")</x:f>
        <x:v>Active</x:v>
      </x:c>
      <x:c r="L100" s="16" t="n">
        <x:f>(YEAR(IF(I100="",TODAY(),I100))-YEAR(H100))*12+MONTH(IF(I100="",TODAY(),I100))-MONTH(H100)</x:f>
        <x:v>39</x:v>
      </x:c>
      <x:c r="M100" s="36" t="n">
        <x:f>DATE(YEAR(H100),MONTH(H100),1)</x:f>
        <x:v>45017</x:v>
      </x:c>
      <x:c r="N100" s="36" t="str">
        <x:f>IF(I100="","",DATE(YEAR(I100),MONTH(I100),1))</x:f>
      </x:c>
    </x:row>
    <x:row r="101">
      <x:c r="A101" s="16" t="str">
        <x:v>HG-01100</x:v>
      </x:c>
      <x:c r="B101" s="16" t="str">
        <x:v>Maliha Sarker</x:v>
      </x:c>
      <x:c r="C101" s="16" t="str">
        <x:v>Female</x:v>
      </x:c>
      <x:c r="D101" s="16" t="str">
        <x:v>Production</x:v>
      </x:c>
      <x:c r="E101" s="16" t="str">
        <x:v>Senior Operator</x:v>
      </x:c>
      <x:c r="F101" s="16" t="str">
        <x:v>Narayanganj Plant</x:v>
      </x:c>
      <x:c r="G101" s="16" t="str">
        <x:v>Permanent</x:v>
      </x:c>
      <x:c r="H101" s="35" t="n">
        <x:v>45426</x:v>
      </x:c>
      <x:c r="I101" s="35"/>
      <x:c r="J101" s="16" t="str"/>
      <x:c r="K101" s="16" t="str">
        <x:f>IF(I101="","Active","Exited")</x:f>
        <x:v>Active</x:v>
      </x:c>
      <x:c r="L101" s="16" t="n">
        <x:f>(YEAR(IF(I101="",TODAY(),I101))-YEAR(H101))*12+MONTH(IF(I101="",TODAY(),I101))-MONTH(H101)</x:f>
        <x:v>26</x:v>
      </x:c>
      <x:c r="M101" s="36" t="n">
        <x:f>DATE(YEAR(H101),MONTH(H101),1)</x:f>
        <x:v>45413</x:v>
      </x:c>
      <x:c r="N101" s="36" t="str">
        <x:f>IF(I101="","",DATE(YEAR(I101),MONTH(I101),1))</x:f>
      </x:c>
    </x:row>
    <x:row r="102">
      <x:c r="A102" s="16" t="str">
        <x:v>HG-01101</x:v>
      </x:c>
      <x:c r="B102" s="16" t="str">
        <x:v>Sharmin Khan</x:v>
      </x:c>
      <x:c r="C102" s="16" t="str">
        <x:v>Female</x:v>
      </x:c>
      <x:c r="D102" s="16" t="str">
        <x:v>Sales &amp; Marketing</x:v>
      </x:c>
      <x:c r="E102" s="16" t="str">
        <x:v>Marketing Officer</x:v>
      </x:c>
      <x:c r="F102" s="16" t="str">
        <x:v>Narayanganj Plant</x:v>
      </x:c>
      <x:c r="G102" s="16" t="str">
        <x:v>Probation</x:v>
      </x:c>
      <x:c r="H102" s="35" t="n">
        <x:v>42935</x:v>
      </x:c>
      <x:c r="I102" s="35" t="n">
        <x:v>45751</x:v>
      </x:c>
      <x:c r="J102" s="16" t="str">
        <x:v>Supervisor / Management</x:v>
      </x:c>
      <x:c r="K102" s="16" t="str">
        <x:f>IF(I102="","Active","Exited")</x:f>
        <x:v>Exited</x:v>
      </x:c>
      <x:c r="L102" s="16" t="n">
        <x:f>(YEAR(IF(I102="",TODAY(),I102))-YEAR(H102))*12+MONTH(IF(I102="",TODAY(),I102))-MONTH(H102)</x:f>
        <x:v>93</x:v>
      </x:c>
      <x:c r="M102" s="36" t="n">
        <x:f>DATE(YEAR(H102),MONTH(H102),1)</x:f>
        <x:v>42917</x:v>
      </x:c>
      <x:c r="N102" s="36" t="n">
        <x:f>IF(I102="","",DATE(YEAR(I102),MONTH(I102),1))</x:f>
        <x:v>45748</x:v>
      </x:c>
    </x:row>
    <x:row r="103">
      <x:c r="A103" s="16" t="str">
        <x:v>HG-01102</x:v>
      </x:c>
      <x:c r="B103" s="16" t="str">
        <x:v>Farhan Akter</x:v>
      </x:c>
      <x:c r="C103" s="16" t="str">
        <x:v>Male</x:v>
      </x:c>
      <x:c r="D103" s="16" t="str">
        <x:v>Quality Assurance</x:v>
      </x:c>
      <x:c r="E103" s="16" t="str">
        <x:v>Compliance Executive</x:v>
      </x:c>
      <x:c r="F103" s="16" t="str">
        <x:v>Dhaka Head Office</x:v>
      </x:c>
      <x:c r="G103" s="16" t="str">
        <x:v>Permanent</x:v>
      </x:c>
      <x:c r="H103" s="35" t="n">
        <x:v>45202</x:v>
      </x:c>
      <x:c r="I103" s="35"/>
      <x:c r="J103" s="16" t="str"/>
      <x:c r="K103" s="16" t="str">
        <x:f>IF(I103="","Active","Exited")</x:f>
        <x:v>Active</x:v>
      </x:c>
      <x:c r="L103" s="16" t="n">
        <x:f>(YEAR(IF(I103="",TODAY(),I103))-YEAR(H103))*12+MONTH(IF(I103="",TODAY(),I103))-MONTH(H103)</x:f>
        <x:v>33</x:v>
      </x:c>
      <x:c r="M103" s="36" t="n">
        <x:f>DATE(YEAR(H103),MONTH(H103),1)</x:f>
        <x:v>45200</x:v>
      </x:c>
      <x:c r="N103" s="36" t="str">
        <x:f>IF(I103="","",DATE(YEAR(I103),MONTH(I103),1))</x:f>
      </x:c>
    </x:row>
    <x:row r="104">
      <x:c r="A104" s="16" t="str">
        <x:v>HG-01103</x:v>
      </x:c>
      <x:c r="B104" s="16" t="str">
        <x:v>Rashed Khan</x:v>
      </x:c>
      <x:c r="C104" s="16" t="str">
        <x:v>Male</x:v>
      </x:c>
      <x:c r="D104" s="16" t="str">
        <x:v>Production</x:v>
      </x:c>
      <x:c r="E104" s="16" t="str">
        <x:v>Assistant Manager - Production</x:v>
      </x:c>
      <x:c r="F104" s="16" t="str">
        <x:v>Gazipur Plant</x:v>
      </x:c>
      <x:c r="G104" s="16" t="str">
        <x:v>Permanent</x:v>
      </x:c>
      <x:c r="H104" s="35" t="n">
        <x:v>45538</x:v>
      </x:c>
      <x:c r="I104" s="35"/>
      <x:c r="J104" s="16" t="str"/>
      <x:c r="K104" s="16" t="str">
        <x:f>IF(I104="","Active","Exited")</x:f>
        <x:v>Active</x:v>
      </x:c>
      <x:c r="L104" s="16" t="n">
        <x:f>(YEAR(IF(I104="",TODAY(),I104))-YEAR(H104))*12+MONTH(IF(I104="",TODAY(),I104))-MONTH(H104)</x:f>
        <x:v>22</x:v>
      </x:c>
      <x:c r="M104" s="36" t="n">
        <x:f>DATE(YEAR(H104),MONTH(H104),1)</x:f>
        <x:v>45536</x:v>
      </x:c>
      <x:c r="N104" s="36" t="str">
        <x:f>IF(I104="","",DATE(YEAR(I104),MONTH(I104),1))</x:f>
      </x:c>
    </x:row>
    <x:row r="105">
      <x:c r="A105" s="16" t="str">
        <x:v>HG-01104</x:v>
      </x:c>
      <x:c r="B105" s="16" t="str">
        <x:v>Ayesha Hasan</x:v>
      </x:c>
      <x:c r="C105" s="16" t="str">
        <x:v>Female</x:v>
      </x:c>
      <x:c r="D105" s="16" t="str">
        <x:v>Production</x:v>
      </x:c>
      <x:c r="E105" s="16" t="str">
        <x:v>Assistant Manager - Production</x:v>
      </x:c>
      <x:c r="F105" s="16" t="str">
        <x:v>Narayanganj Plant</x:v>
      </x:c>
      <x:c r="G105" s="16" t="str">
        <x:v>Permanent</x:v>
      </x:c>
      <x:c r="H105" s="35" t="n">
        <x:v>42926</x:v>
      </x:c>
      <x:c r="I105" s="35"/>
      <x:c r="J105" s="16" t="str"/>
      <x:c r="K105" s="16" t="str">
        <x:f>IF(I105="","Active","Exited")</x:f>
        <x:v>Active</x:v>
      </x:c>
      <x:c r="L105" s="16" t="n">
        <x:f>(YEAR(IF(I105="",TODAY(),I105))-YEAR(H105))*12+MONTH(IF(I105="",TODAY(),I105))-MONTH(H105)</x:f>
        <x:v>108</x:v>
      </x:c>
      <x:c r="M105" s="36" t="n">
        <x:f>DATE(YEAR(H105),MONTH(H105),1)</x:f>
        <x:v>42917</x:v>
      </x:c>
      <x:c r="N105" s="36" t="str">
        <x:f>IF(I105="","",DATE(YEAR(I105),MONTH(I105),1))</x:f>
      </x:c>
    </x:row>
    <x:row r="106">
      <x:c r="A106" s="16" t="str">
        <x:v>HG-01105</x:v>
      </x:c>
      <x:c r="B106" s="16" t="str">
        <x:v>Tanvir Chowdhury</x:v>
      </x:c>
      <x:c r="C106" s="16" t="str">
        <x:v>Male</x:v>
      </x:c>
      <x:c r="D106" s="16" t="str">
        <x:v>Supply Chain</x:v>
      </x:c>
      <x:c r="E106" s="16" t="str">
        <x:v>Logistics Executive</x:v>
      </x:c>
      <x:c r="F106" s="16" t="str">
        <x:v>Gazipur Plant</x:v>
      </x:c>
      <x:c r="G106" s="16" t="str">
        <x:v>Permanent</x:v>
      </x:c>
      <x:c r="H106" s="35" t="n">
        <x:v>42858</x:v>
      </x:c>
      <x:c r="I106" s="35" t="n">
        <x:v>45786</x:v>
      </x:c>
      <x:c r="J106" s="16" t="str">
        <x:v>Better Opportunity</x:v>
      </x:c>
      <x:c r="K106" s="16" t="str">
        <x:f>IF(I106="","Active","Exited")</x:f>
        <x:v>Exited</x:v>
      </x:c>
      <x:c r="L106" s="16" t="n">
        <x:f>(YEAR(IF(I106="",TODAY(),I106))-YEAR(H106))*12+MONTH(IF(I106="",TODAY(),I106))-MONTH(H106)</x:f>
        <x:v>96</x:v>
      </x:c>
      <x:c r="M106" s="36" t="n">
        <x:f>DATE(YEAR(H106),MONTH(H106),1)</x:f>
        <x:v>42856</x:v>
      </x:c>
      <x:c r="N106" s="36" t="n">
        <x:f>IF(I106="","",DATE(YEAR(I106),MONTH(I106),1))</x:f>
        <x:v>45778</x:v>
      </x:c>
    </x:row>
    <x:row r="107">
      <x:c r="A107" s="16" t="str">
        <x:v>HG-01106</x:v>
      </x:c>
      <x:c r="B107" s="16" t="str">
        <x:v>Sajid Khan</x:v>
      </x:c>
      <x:c r="C107" s="16" t="str">
        <x:v>Male</x:v>
      </x:c>
      <x:c r="D107" s="16" t="str">
        <x:v>Production</x:v>
      </x:c>
      <x:c r="E107" s="16" t="str">
        <x:v>Line Supervisor</x:v>
      </x:c>
      <x:c r="F107" s="16" t="str">
        <x:v>Narayanganj Plant</x:v>
      </x:c>
      <x:c r="G107" s="16" t="str">
        <x:v>Permanent</x:v>
      </x:c>
      <x:c r="H107" s="35" t="n">
        <x:v>45610</x:v>
      </x:c>
      <x:c r="I107" s="35"/>
      <x:c r="J107" s="16" t="str"/>
      <x:c r="K107" s="16" t="str">
        <x:f>IF(I107="","Active","Exited")</x:f>
        <x:v>Active</x:v>
      </x:c>
      <x:c r="L107" s="16" t="n">
        <x:f>(YEAR(IF(I107="",TODAY(),I107))-YEAR(H107))*12+MONTH(IF(I107="",TODAY(),I107))-MONTH(H107)</x:f>
        <x:v>20</x:v>
      </x:c>
      <x:c r="M107" s="36" t="n">
        <x:f>DATE(YEAR(H107),MONTH(H107),1)</x:f>
        <x:v>45597</x:v>
      </x:c>
      <x:c r="N107" s="36" t="str">
        <x:f>IF(I107="","",DATE(YEAR(I107),MONTH(I107),1))</x:f>
      </x:c>
    </x:row>
    <x:row r="108">
      <x:c r="A108" s="16" t="str">
        <x:v>HG-01107</x:v>
      </x:c>
      <x:c r="B108" s="16" t="str">
        <x:v>Rakib Miah</x:v>
      </x:c>
      <x:c r="C108" s="16" t="str">
        <x:v>Male</x:v>
      </x:c>
      <x:c r="D108" s="16" t="str">
        <x:v>Information Technology</x:v>
      </x:c>
      <x:c r="E108" s="16" t="str">
        <x:v>Data Analyst</x:v>
      </x:c>
      <x:c r="F108" s="16" t="str">
        <x:v>Dhaka Head Office</x:v>
      </x:c>
      <x:c r="G108" s="16" t="str">
        <x:v>Contract</x:v>
      </x:c>
      <x:c r="H108" s="35" t="n">
        <x:v>44091</x:v>
      </x:c>
      <x:c r="I108" s="35" t="n">
        <x:v>45949</x:v>
      </x:c>
      <x:c r="J108" s="16" t="str">
        <x:v>Better Opportunity</x:v>
      </x:c>
      <x:c r="K108" s="16" t="str">
        <x:f>IF(I108="","Active","Exited")</x:f>
        <x:v>Exited</x:v>
      </x:c>
      <x:c r="L108" s="16" t="n">
        <x:f>(YEAR(IF(I108="",TODAY(),I108))-YEAR(H108))*12+MONTH(IF(I108="",TODAY(),I108))-MONTH(H108)</x:f>
        <x:v>61</x:v>
      </x:c>
      <x:c r="M108" s="36" t="n">
        <x:f>DATE(YEAR(H108),MONTH(H108),1)</x:f>
        <x:v>44075</x:v>
      </x:c>
      <x:c r="N108" s="36" t="n">
        <x:f>IF(I108="","",DATE(YEAR(I108),MONTH(I108),1))</x:f>
        <x:v>45931</x:v>
      </x:c>
    </x:row>
    <x:row r="109">
      <x:c r="A109" s="16" t="str">
        <x:v>HG-01108</x:v>
      </x:c>
      <x:c r="B109" s="16" t="str">
        <x:v>Sadika Akter</x:v>
      </x:c>
      <x:c r="C109" s="16" t="str">
        <x:v>Female</x:v>
      </x:c>
      <x:c r="D109" s="16" t="str">
        <x:v>Supply Chain</x:v>
      </x:c>
      <x:c r="E109" s="16" t="str">
        <x:v>Procurement Executive</x:v>
      </x:c>
      <x:c r="F109" s="16" t="str">
        <x:v>Narayanganj Plant</x:v>
      </x:c>
      <x:c r="G109" s="16" t="str">
        <x:v>Permanent</x:v>
      </x:c>
      <x:c r="H109" s="35" t="n">
        <x:v>45376</x:v>
      </x:c>
      <x:c r="I109" s="35" t="n">
        <x:v>46057</x:v>
      </x:c>
      <x:c r="J109" s="16" t="str">
        <x:v>End of Contract</x:v>
      </x:c>
      <x:c r="K109" s="16" t="str">
        <x:f>IF(I109="","Active","Exited")</x:f>
        <x:v>Exited</x:v>
      </x:c>
      <x:c r="L109" s="16" t="n">
        <x:f>(YEAR(IF(I109="",TODAY(),I109))-YEAR(H109))*12+MONTH(IF(I109="",TODAY(),I109))-MONTH(H109)</x:f>
        <x:v>23</x:v>
      </x:c>
      <x:c r="M109" s="36" t="n">
        <x:f>DATE(YEAR(H109),MONTH(H109),1)</x:f>
        <x:v>45352</x:v>
      </x:c>
      <x:c r="N109" s="36" t="n">
        <x:f>IF(I109="","",DATE(YEAR(I109),MONTH(I109),1))</x:f>
        <x:v>46054</x:v>
      </x:c>
    </x:row>
    <x:row r="110">
      <x:c r="A110" s="16" t="str">
        <x:v>HG-01109</x:v>
      </x:c>
      <x:c r="B110" s="16" t="str">
        <x:v>Maliha Miah</x:v>
      </x:c>
      <x:c r="C110" s="16" t="str">
        <x:v>Female</x:v>
      </x:c>
      <x:c r="D110" s="16" t="str">
        <x:v>Production</x:v>
      </x:c>
      <x:c r="E110" s="16" t="str">
        <x:v>Line Supervisor</x:v>
      </x:c>
      <x:c r="F110" s="16" t="str">
        <x:v>Narayanganj Plant</x:v>
      </x:c>
      <x:c r="G110" s="16" t="str">
        <x:v>Permanent</x:v>
      </x:c>
      <x:c r="H110" s="35" t="n">
        <x:v>43426</x:v>
      </x:c>
      <x:c r="I110" s="35"/>
      <x:c r="J110" s="16" t="str"/>
      <x:c r="K110" s="16" t="str">
        <x:f>IF(I110="","Active","Exited")</x:f>
        <x:v>Active</x:v>
      </x:c>
      <x:c r="L110" s="16" t="n">
        <x:f>(YEAR(IF(I110="",TODAY(),I110))-YEAR(H110))*12+MONTH(IF(I110="",TODAY(),I110))-MONTH(H110)</x:f>
        <x:v>92</x:v>
      </x:c>
      <x:c r="M110" s="36" t="n">
        <x:f>DATE(YEAR(H110),MONTH(H110),1)</x:f>
        <x:v>43405</x:v>
      </x:c>
      <x:c r="N110" s="36" t="str">
        <x:f>IF(I110="","",DATE(YEAR(I110),MONTH(I110),1))</x:f>
      </x:c>
    </x:row>
    <x:row r="111">
      <x:c r="A111" s="16" t="str">
        <x:v>HG-01110</x:v>
      </x:c>
      <x:c r="B111" s="16" t="str">
        <x:v>Jubayer Alam</x:v>
      </x:c>
      <x:c r="C111" s="16" t="str">
        <x:v>Male</x:v>
      </x:c>
      <x:c r="D111" s="16" t="str">
        <x:v>Production</x:v>
      </x:c>
      <x:c r="E111" s="16" t="str">
        <x:v>Senior Operator</x:v>
      </x:c>
      <x:c r="F111" s="16" t="str">
        <x:v>Gazipur Plant</x:v>
      </x:c>
      <x:c r="G111" s="16" t="str">
        <x:v>Permanent</x:v>
      </x:c>
      <x:c r="H111" s="35" t="n">
        <x:v>43737</x:v>
      </x:c>
      <x:c r="I111" s="35"/>
      <x:c r="J111" s="16" t="str"/>
      <x:c r="K111" s="16" t="str">
        <x:f>IF(I111="","Active","Exited")</x:f>
        <x:v>Active</x:v>
      </x:c>
      <x:c r="L111" s="16" t="n">
        <x:f>(YEAR(IF(I111="",TODAY(),I111))-YEAR(H111))*12+MONTH(IF(I111="",TODAY(),I111))-MONTH(H111)</x:f>
        <x:v>82</x:v>
      </x:c>
      <x:c r="M111" s="36" t="n">
        <x:f>DATE(YEAR(H111),MONTH(H111),1)</x:f>
        <x:v>43709</x:v>
      </x:c>
      <x:c r="N111" s="36" t="str">
        <x:f>IF(I111="","",DATE(YEAR(I111),MONTH(I111),1))</x:f>
      </x:c>
    </x:row>
    <x:row r="112">
      <x:c r="A112" s="16" t="str">
        <x:v>HG-01111</x:v>
      </x:c>
      <x:c r="B112" s="16" t="str">
        <x:v>Arif Ahmed</x:v>
      </x:c>
      <x:c r="C112" s="16" t="str">
        <x:v>Male</x:v>
      </x:c>
      <x:c r="D112" s="16" t="str">
        <x:v>Production</x:v>
      </x:c>
      <x:c r="E112" s="16" t="str">
        <x:v>Production Operator</x:v>
      </x:c>
      <x:c r="F112" s="16" t="str">
        <x:v>Gazipur Plant</x:v>
      </x:c>
      <x:c r="G112" s="16" t="str">
        <x:v>Permanent</x:v>
      </x:c>
      <x:c r="H112" s="35" t="n">
        <x:v>43380</x:v>
      </x:c>
      <x:c r="I112" s="35"/>
      <x:c r="J112" s="16" t="str"/>
      <x:c r="K112" s="16" t="str">
        <x:f>IF(I112="","Active","Exited")</x:f>
        <x:v>Active</x:v>
      </x:c>
      <x:c r="L112" s="16" t="n">
        <x:f>(YEAR(IF(I112="",TODAY(),I112))-YEAR(H112))*12+MONTH(IF(I112="",TODAY(),I112))-MONTH(H112)</x:f>
        <x:v>93</x:v>
      </x:c>
      <x:c r="M112" s="36" t="n">
        <x:f>DATE(YEAR(H112),MONTH(H112),1)</x:f>
        <x:v>43374</x:v>
      </x:c>
      <x:c r="N112" s="36" t="str">
        <x:f>IF(I112="","",DATE(YEAR(I112),MONTH(I112),1))</x:f>
      </x:c>
    </x:row>
    <x:row r="113">
      <x:c r="A113" s="16" t="str">
        <x:v>HG-01112</x:v>
      </x:c>
      <x:c r="B113" s="16" t="str">
        <x:v>Farhan Sarker</x:v>
      </x:c>
      <x:c r="C113" s="16" t="str">
        <x:v>Male</x:v>
      </x:c>
      <x:c r="D113" s="16" t="str">
        <x:v>Production</x:v>
      </x:c>
      <x:c r="E113" s="16" t="str">
        <x:v>Line Supervisor</x:v>
      </x:c>
      <x:c r="F113" s="16" t="str">
        <x:v>Gazipur Plant</x:v>
      </x:c>
      <x:c r="G113" s="16" t="str">
        <x:v>Permanent</x:v>
      </x:c>
      <x:c r="H113" s="35" t="n">
        <x:v>43959</x:v>
      </x:c>
      <x:c r="I113" s="35"/>
      <x:c r="J113" s="16" t="str"/>
      <x:c r="K113" s="16" t="str">
        <x:f>IF(I113="","Active","Exited")</x:f>
        <x:v>Active</x:v>
      </x:c>
      <x:c r="L113" s="16" t="n">
        <x:f>(YEAR(IF(I113="",TODAY(),I113))-YEAR(H113))*12+MONTH(IF(I113="",TODAY(),I113))-MONTH(H113)</x:f>
        <x:v>74</x:v>
      </x:c>
      <x:c r="M113" s="36" t="n">
        <x:f>DATE(YEAR(H113),MONTH(H113),1)</x:f>
        <x:v>43952</x:v>
      </x:c>
      <x:c r="N113" s="36" t="str">
        <x:f>IF(I113="","",DATE(YEAR(I113),MONTH(I113),1))</x:f>
      </x:c>
    </x:row>
    <x:row r="114">
      <x:c r="A114" s="16" t="str">
        <x:v>HG-01113</x:v>
      </x:c>
      <x:c r="B114" s="16" t="str">
        <x:v>Mehedi Begum</x:v>
      </x:c>
      <x:c r="C114" s="16" t="str">
        <x:v>Male</x:v>
      </x:c>
      <x:c r="D114" s="16" t="str">
        <x:v>Supply Chain</x:v>
      </x:c>
      <x:c r="E114" s="16" t="str">
        <x:v>Assistant Manager - Supply Chain</x:v>
      </x:c>
      <x:c r="F114" s="16" t="str">
        <x:v>Gazipur Plant</x:v>
      </x:c>
      <x:c r="G114" s="16" t="str">
        <x:v>Permanent</x:v>
      </x:c>
      <x:c r="H114" s="35" t="n">
        <x:v>44748</x:v>
      </x:c>
      <x:c r="I114" s="35"/>
      <x:c r="J114" s="16" t="str"/>
      <x:c r="K114" s="16" t="str">
        <x:f>IF(I114="","Active","Exited")</x:f>
        <x:v>Active</x:v>
      </x:c>
      <x:c r="L114" s="16" t="n">
        <x:f>(YEAR(IF(I114="",TODAY(),I114))-YEAR(H114))*12+MONTH(IF(I114="",TODAY(),I114))-MONTH(H114)</x:f>
        <x:v>48</x:v>
      </x:c>
      <x:c r="M114" s="36" t="n">
        <x:f>DATE(YEAR(H114),MONTH(H114),1)</x:f>
        <x:v>44743</x:v>
      </x:c>
      <x:c r="N114" s="36" t="str">
        <x:f>IF(I114="","",DATE(YEAR(I114),MONTH(I114),1))</x:f>
      </x:c>
    </x:row>
    <x:row r="115">
      <x:c r="A115" s="16" t="str">
        <x:v>HG-01114</x:v>
      </x:c>
      <x:c r="B115" s="16" t="str">
        <x:v>Ayesha Ahmed</x:v>
      </x:c>
      <x:c r="C115" s="16" t="str">
        <x:v>Female</x:v>
      </x:c>
      <x:c r="D115" s="16" t="str">
        <x:v>Sales &amp; Marketing</x:v>
      </x:c>
      <x:c r="E115" s="16" t="str">
        <x:v>Marketing Officer</x:v>
      </x:c>
      <x:c r="F115" s="16" t="str">
        <x:v>Dhaka Head Office</x:v>
      </x:c>
      <x:c r="G115" s="16" t="str">
        <x:v>Probation</x:v>
      </x:c>
      <x:c r="H115" s="35" t="n">
        <x:v>44795</x:v>
      </x:c>
      <x:c r="I115" s="35"/>
      <x:c r="J115" s="16" t="str"/>
      <x:c r="K115" s="16" t="str">
        <x:f>IF(I115="","Active","Exited")</x:f>
        <x:v>Active</x:v>
      </x:c>
      <x:c r="L115" s="16" t="n">
        <x:f>(YEAR(IF(I115="",TODAY(),I115))-YEAR(H115))*12+MONTH(IF(I115="",TODAY(),I115))-MONTH(H115)</x:f>
        <x:v>47</x:v>
      </x:c>
      <x:c r="M115" s="36" t="n">
        <x:f>DATE(YEAR(H115),MONTH(H115),1)</x:f>
        <x:v>44774</x:v>
      </x:c>
      <x:c r="N115" s="36" t="str">
        <x:f>IF(I115="","",DATE(YEAR(I115),MONTH(I115),1))</x:f>
      </x:c>
    </x:row>
    <x:row r="116">
      <x:c r="A116" s="16" t="str">
        <x:v>HG-01115</x:v>
      </x:c>
      <x:c r="B116" s="16" t="str">
        <x:v>Hasan Ahmed</x:v>
      </x:c>
      <x:c r="C116" s="16" t="str">
        <x:v>Male</x:v>
      </x:c>
      <x:c r="D116" s="16" t="str">
        <x:v>Production</x:v>
      </x:c>
      <x:c r="E116" s="16" t="str">
        <x:v>Line Supervisor</x:v>
      </x:c>
      <x:c r="F116" s="16" t="str">
        <x:v>Dhaka Head Office</x:v>
      </x:c>
      <x:c r="G116" s="16" t="str">
        <x:v>Permanent</x:v>
      </x:c>
      <x:c r="H116" s="35" t="n">
        <x:v>44128</x:v>
      </x:c>
      <x:c r="I116" s="35"/>
      <x:c r="J116" s="16" t="str"/>
      <x:c r="K116" s="16" t="str">
        <x:f>IF(I116="","Active","Exited")</x:f>
        <x:v>Active</x:v>
      </x:c>
      <x:c r="L116" s="16" t="n">
        <x:f>(YEAR(IF(I116="",TODAY(),I116))-YEAR(H116))*12+MONTH(IF(I116="",TODAY(),I116))-MONTH(H116)</x:f>
        <x:v>69</x:v>
      </x:c>
      <x:c r="M116" s="36" t="n">
        <x:f>DATE(YEAR(H116),MONTH(H116),1)</x:f>
        <x:v>44105</x:v>
      </x:c>
      <x:c r="N116" s="36" t="str">
        <x:f>IF(I116="","",DATE(YEAR(I116),MONTH(I116),1))</x:f>
      </x:c>
    </x:row>
    <x:row r="117">
      <x:c r="A117" s="16" t="str">
        <x:v>HG-01116</x:v>
      </x:c>
      <x:c r="B117" s="16" t="str">
        <x:v>Farhan Alam</x:v>
      </x:c>
      <x:c r="C117" s="16" t="str">
        <x:v>Male</x:v>
      </x:c>
      <x:c r="D117" s="16" t="str">
        <x:v>Sales &amp; Marketing</x:v>
      </x:c>
      <x:c r="E117" s="16" t="str">
        <x:v>Territory Officer</x:v>
      </x:c>
      <x:c r="F117" s="16" t="str">
        <x:v>Dhaka Head Office</x:v>
      </x:c>
      <x:c r="G117" s="16" t="str">
        <x:v>Contract</x:v>
      </x:c>
      <x:c r="H117" s="35" t="n">
        <x:v>44438</x:v>
      </x:c>
      <x:c r="I117" s="35" t="n">
        <x:v>45890</x:v>
      </x:c>
      <x:c r="J117" s="16" t="str">
        <x:v>Career Growth</x:v>
      </x:c>
      <x:c r="K117" s="16" t="str">
        <x:f>IF(I117="","Active","Exited")</x:f>
        <x:v>Exited</x:v>
      </x:c>
      <x:c r="L117" s="16" t="n">
        <x:f>(YEAR(IF(I117="",TODAY(),I117))-YEAR(H117))*12+MONTH(IF(I117="",TODAY(),I117))-MONTH(H117)</x:f>
        <x:v>48</x:v>
      </x:c>
      <x:c r="M117" s="36" t="n">
        <x:f>DATE(YEAR(H117),MONTH(H117),1)</x:f>
        <x:v>44409</x:v>
      </x:c>
      <x:c r="N117" s="36" t="n">
        <x:f>IF(I117="","",DATE(YEAR(I117),MONTH(I117),1))</x:f>
        <x:v>45870</x:v>
      </x:c>
    </x:row>
    <x:row r="118">
      <x:c r="A118" s="16" t="str">
        <x:v>HG-01117</x:v>
      </x:c>
      <x:c r="B118" s="16" t="str">
        <x:v>Sabbir Chowdhury</x:v>
      </x:c>
      <x:c r="C118" s="16" t="str">
        <x:v>Male</x:v>
      </x:c>
      <x:c r="D118" s="16" t="str">
        <x:v>Supply Chain</x:v>
      </x:c>
      <x:c r="E118" s="16" t="str">
        <x:v>Inventory Officer</x:v>
      </x:c>
      <x:c r="F118" s="16" t="str">
        <x:v>Gazipur Plant</x:v>
      </x:c>
      <x:c r="G118" s="16" t="str">
        <x:v>Permanent</x:v>
      </x:c>
      <x:c r="H118" s="35" t="n">
        <x:v>45649</x:v>
      </x:c>
      <x:c r="I118" s="35"/>
      <x:c r="J118" s="16" t="str"/>
      <x:c r="K118" s="16" t="str">
        <x:f>IF(I118="","Active","Exited")</x:f>
        <x:v>Active</x:v>
      </x:c>
      <x:c r="L118" s="16" t="n">
        <x:f>(YEAR(IF(I118="",TODAY(),I118))-YEAR(H118))*12+MONTH(IF(I118="",TODAY(),I118))-MONTH(H118)</x:f>
        <x:v>19</x:v>
      </x:c>
      <x:c r="M118" s="36" t="n">
        <x:f>DATE(YEAR(H118),MONTH(H118),1)</x:f>
        <x:v>45627</x:v>
      </x:c>
      <x:c r="N118" s="36" t="str">
        <x:f>IF(I118="","",DATE(YEAR(I118),MONTH(I118),1))</x:f>
      </x:c>
    </x:row>
    <x:row r="119">
      <x:c r="A119" s="16" t="str">
        <x:v>HG-01118</x:v>
      </x:c>
      <x:c r="B119" s="16" t="str">
        <x:v>Rakib Begum</x:v>
      </x:c>
      <x:c r="C119" s="16" t="str">
        <x:v>Male</x:v>
      </x:c>
      <x:c r="D119" s="16" t="str">
        <x:v>Production</x:v>
      </x:c>
      <x:c r="E119" s="16" t="str">
        <x:v>Senior Operator</x:v>
      </x:c>
      <x:c r="F119" s="16" t="str">
        <x:v>Narayanganj Plant</x:v>
      </x:c>
      <x:c r="G119" s="16" t="str">
        <x:v>Permanent</x:v>
      </x:c>
      <x:c r="H119" s="35" t="n">
        <x:v>43610</x:v>
      </x:c>
      <x:c r="I119" s="35"/>
      <x:c r="J119" s="16" t="str"/>
      <x:c r="K119" s="16" t="str">
        <x:f>IF(I119="","Active","Exited")</x:f>
        <x:v>Active</x:v>
      </x:c>
      <x:c r="L119" s="16" t="n">
        <x:f>(YEAR(IF(I119="",TODAY(),I119))-YEAR(H119))*12+MONTH(IF(I119="",TODAY(),I119))-MONTH(H119)</x:f>
        <x:v>86</x:v>
      </x:c>
      <x:c r="M119" s="36" t="n">
        <x:f>DATE(YEAR(H119),MONTH(H119),1)</x:f>
        <x:v>43586</x:v>
      </x:c>
      <x:c r="N119" s="36" t="str">
        <x:f>IF(I119="","",DATE(YEAR(I119),MONTH(I119),1))</x:f>
      </x:c>
    </x:row>
    <x:row r="120">
      <x:c r="A120" s="16" t="str">
        <x:v>HG-01119</x:v>
      </x:c>
      <x:c r="B120" s="16" t="str">
        <x:v>Tanvir Uddin</x:v>
      </x:c>
      <x:c r="C120" s="16" t="str">
        <x:v>Male</x:v>
      </x:c>
      <x:c r="D120" s="16" t="str">
        <x:v>Quality Assurance</x:v>
      </x:c>
      <x:c r="E120" s="16" t="str">
        <x:v>Compliance Executive</x:v>
      </x:c>
      <x:c r="F120" s="16" t="str">
        <x:v>Narayanganj Plant</x:v>
      </x:c>
      <x:c r="G120" s="16" t="str">
        <x:v>Permanent</x:v>
      </x:c>
      <x:c r="H120" s="35" t="n">
        <x:v>44284</x:v>
      </x:c>
      <x:c r="I120" s="35"/>
      <x:c r="J120" s="16" t="str"/>
      <x:c r="K120" s="16" t="str">
        <x:f>IF(I120="","Active","Exited")</x:f>
        <x:v>Active</x:v>
      </x:c>
      <x:c r="L120" s="16" t="n">
        <x:f>(YEAR(IF(I120="",TODAY(),I120))-YEAR(H120))*12+MONTH(IF(I120="",TODAY(),I120))-MONTH(H120)</x:f>
        <x:v>64</x:v>
      </x:c>
      <x:c r="M120" s="36" t="n">
        <x:f>DATE(YEAR(H120),MONTH(H120),1)</x:f>
        <x:v>44256</x:v>
      </x:c>
      <x:c r="N120" s="36" t="str">
        <x:f>IF(I120="","",DATE(YEAR(I120),MONTH(I120),1))</x:f>
      </x:c>
    </x:row>
    <x:row r="121">
      <x:c r="A121" s="16" t="str">
        <x:v>HG-01120</x:v>
      </x:c>
      <x:c r="B121" s="16" t="str">
        <x:v>Foysal Khan</x:v>
      </x:c>
      <x:c r="C121" s="16" t="str">
        <x:v>Male</x:v>
      </x:c>
      <x:c r="D121" s="16" t="str">
        <x:v>Sales &amp; Marketing</x:v>
      </x:c>
      <x:c r="E121" s="16" t="str">
        <x:v>Key Account Executive</x:v>
      </x:c>
      <x:c r="F121" s="16" t="str">
        <x:v>Gazipur Plant</x:v>
      </x:c>
      <x:c r="G121" s="16" t="str">
        <x:v>Contract</x:v>
      </x:c>
      <x:c r="H121" s="35" t="n">
        <x:v>44801</x:v>
      </x:c>
      <x:c r="I121" s="35" t="n">
        <x:v>46034</x:v>
      </x:c>
      <x:c r="J121" s="16" t="str">
        <x:v>Supervisor / Management</x:v>
      </x:c>
      <x:c r="K121" s="16" t="str">
        <x:f>IF(I121="","Active","Exited")</x:f>
        <x:v>Exited</x:v>
      </x:c>
      <x:c r="L121" s="16" t="n">
        <x:f>(YEAR(IF(I121="",TODAY(),I121))-YEAR(H121))*12+MONTH(IF(I121="",TODAY(),I121))-MONTH(H121)</x:f>
        <x:v>41</x:v>
      </x:c>
      <x:c r="M121" s="36" t="n">
        <x:f>DATE(YEAR(H121),MONTH(H121),1)</x:f>
        <x:v>44774</x:v>
      </x:c>
      <x:c r="N121" s="36" t="n">
        <x:f>IF(I121="","",DATE(YEAR(I121),MONTH(I121),1))</x:f>
        <x:v>46023</x:v>
      </x:c>
    </x:row>
    <x:row r="122">
      <x:c r="A122" s="16" t="str">
        <x:v>HG-01121</x:v>
      </x:c>
      <x:c r="B122" s="16" t="str">
        <x:v>Foysal Khan</x:v>
      </x:c>
      <x:c r="C122" s="16" t="str">
        <x:v>Male</x:v>
      </x:c>
      <x:c r="D122" s="16" t="str">
        <x:v>Human Resources</x:v>
      </x:c>
      <x:c r="E122" s="16" t="str">
        <x:v>Assistant Manager - HR</x:v>
      </x:c>
      <x:c r="F122" s="16" t="str">
        <x:v>Dhaka Head Office</x:v>
      </x:c>
      <x:c r="G122" s="16" t="str">
        <x:v>Permanent</x:v>
      </x:c>
      <x:c r="H122" s="35" t="n">
        <x:v>44406</x:v>
      </x:c>
      <x:c r="I122" s="35" t="n">
        <x:v>46067</x:v>
      </x:c>
      <x:c r="J122" s="16" t="str">
        <x:v>Career Growth</x:v>
      </x:c>
      <x:c r="K122" s="16" t="str">
        <x:f>IF(I122="","Active","Exited")</x:f>
        <x:v>Exited</x:v>
      </x:c>
      <x:c r="L122" s="16" t="n">
        <x:f>(YEAR(IF(I122="",TODAY(),I122))-YEAR(H122))*12+MONTH(IF(I122="",TODAY(),I122))-MONTH(H122)</x:f>
        <x:v>55</x:v>
      </x:c>
      <x:c r="M122" s="36" t="n">
        <x:f>DATE(YEAR(H122),MONTH(H122),1)</x:f>
        <x:v>44378</x:v>
      </x:c>
      <x:c r="N122" s="36" t="n">
        <x:f>IF(I122="","",DATE(YEAR(I122),MONTH(I122),1))</x:f>
        <x:v>46054</x:v>
      </x:c>
    </x:row>
    <x:row r="123">
      <x:c r="A123" s="16" t="str">
        <x:v>HG-01122</x:v>
      </x:c>
      <x:c r="B123" s="16" t="str">
        <x:v>Rakib Miah</x:v>
      </x:c>
      <x:c r="C123" s="16" t="str">
        <x:v>Male</x:v>
      </x:c>
      <x:c r="D123" s="16" t="str">
        <x:v>Sales &amp; Marketing</x:v>
      </x:c>
      <x:c r="E123" s="16" t="str">
        <x:v>Sales Executive</x:v>
      </x:c>
      <x:c r="F123" s="16" t="str">
        <x:v>Narayanganj Plant</x:v>
      </x:c>
      <x:c r="G123" s="16" t="str">
        <x:v>Probation</x:v>
      </x:c>
      <x:c r="H123" s="35" t="n">
        <x:v>45050</x:v>
      </x:c>
      <x:c r="I123" s="35"/>
      <x:c r="J123" s="16" t="str"/>
      <x:c r="K123" s="16" t="str">
        <x:f>IF(I123="","Active","Exited")</x:f>
        <x:v>Active</x:v>
      </x:c>
      <x:c r="L123" s="16" t="n">
        <x:f>(YEAR(IF(I123="",TODAY(),I123))-YEAR(H123))*12+MONTH(IF(I123="",TODAY(),I123))-MONTH(H123)</x:f>
        <x:v>38</x:v>
      </x:c>
      <x:c r="M123" s="36" t="n">
        <x:f>DATE(YEAR(H123),MONTH(H123),1)</x:f>
        <x:v>45047</x:v>
      </x:c>
      <x:c r="N123" s="36" t="str">
        <x:f>IF(I123="","",DATE(YEAR(I123),MONTH(I123),1))</x:f>
      </x:c>
    </x:row>
    <x:row r="124">
      <x:c r="A124" s="16" t="str">
        <x:v>HG-01123</x:v>
      </x:c>
      <x:c r="B124" s="16" t="str">
        <x:v>Sabbir Karim</x:v>
      </x:c>
      <x:c r="C124" s="16" t="str">
        <x:v>Male</x:v>
      </x:c>
      <x:c r="D124" s="16" t="str">
        <x:v>Administration</x:v>
      </x:c>
      <x:c r="E124" s="16" t="str">
        <x:v>Facility Officer</x:v>
      </x:c>
      <x:c r="F124" s="16" t="str">
        <x:v>Narayanganj Plant</x:v>
      </x:c>
      <x:c r="G124" s="16" t="str">
        <x:v>Permanent</x:v>
      </x:c>
      <x:c r="H124" s="35" t="n">
        <x:v>45225</x:v>
      </x:c>
      <x:c r="I124" s="35"/>
      <x:c r="J124" s="16" t="str"/>
      <x:c r="K124" s="16" t="str">
        <x:f>IF(I124="","Active","Exited")</x:f>
        <x:v>Active</x:v>
      </x:c>
      <x:c r="L124" s="16" t="n">
        <x:f>(YEAR(IF(I124="",TODAY(),I124))-YEAR(H124))*12+MONTH(IF(I124="",TODAY(),I124))-MONTH(H124)</x:f>
        <x:v>33</x:v>
      </x:c>
      <x:c r="M124" s="36" t="n">
        <x:f>DATE(YEAR(H124),MONTH(H124),1)</x:f>
        <x:v>45200</x:v>
      </x:c>
      <x:c r="N124" s="36" t="str">
        <x:f>IF(I124="","",DATE(YEAR(I124),MONTH(I124),1))</x:f>
      </x:c>
    </x:row>
    <x:row r="125">
      <x:c r="A125" s="16" t="str">
        <x:v>HG-01124</x:v>
      </x:c>
      <x:c r="B125" s="16" t="str">
        <x:v>Shakil Akter</x:v>
      </x:c>
      <x:c r="C125" s="16" t="str">
        <x:v>Male</x:v>
      </x:c>
      <x:c r="D125" s="16" t="str">
        <x:v>Production</x:v>
      </x:c>
      <x:c r="E125" s="16" t="str">
        <x:v>Production Officer</x:v>
      </x:c>
      <x:c r="F125" s="16" t="str">
        <x:v>Narayanganj Plant</x:v>
      </x:c>
      <x:c r="G125" s="16" t="str">
        <x:v>Permanent</x:v>
      </x:c>
      <x:c r="H125" s="35" t="n">
        <x:v>44438</x:v>
      </x:c>
      <x:c r="I125" s="35"/>
      <x:c r="J125" s="16" t="str"/>
      <x:c r="K125" s="16" t="str">
        <x:f>IF(I125="","Active","Exited")</x:f>
        <x:v>Active</x:v>
      </x:c>
      <x:c r="L125" s="16" t="n">
        <x:f>(YEAR(IF(I125="",TODAY(),I125))-YEAR(H125))*12+MONTH(IF(I125="",TODAY(),I125))-MONTH(H125)</x:f>
        <x:v>59</x:v>
      </x:c>
      <x:c r="M125" s="36" t="n">
        <x:f>DATE(YEAR(H125),MONTH(H125),1)</x:f>
        <x:v>44409</x:v>
      </x:c>
      <x:c r="N125" s="36" t="str">
        <x:f>IF(I125="","",DATE(YEAR(I125),MONTH(I125),1))</x:f>
      </x:c>
    </x:row>
    <x:row r="126">
      <x:c r="A126" s="16" t="str">
        <x:v>HG-01125</x:v>
      </x:c>
      <x:c r="B126" s="16" t="str">
        <x:v>Asif Akter</x:v>
      </x:c>
      <x:c r="C126" s="16" t="str">
        <x:v>Male</x:v>
      </x:c>
      <x:c r="D126" s="16" t="str">
        <x:v>Quality Assurance</x:v>
      </x:c>
      <x:c r="E126" s="16" t="str">
        <x:v>Senior QA Executive</x:v>
      </x:c>
      <x:c r="F126" s="16" t="str">
        <x:v>Chattogram Office</x:v>
      </x:c>
      <x:c r="G126" s="16" t="str">
        <x:v>Permanent</x:v>
      </x:c>
      <x:c r="H126" s="35" t="n">
        <x:v>44278</x:v>
      </x:c>
      <x:c r="I126" s="35" t="n">
        <x:v>45841</x:v>
      </x:c>
      <x:c r="J126" s="16" t="str">
        <x:v>Better Opportunity</x:v>
      </x:c>
      <x:c r="K126" s="16" t="str">
        <x:f>IF(I126="","Active","Exited")</x:f>
        <x:v>Exited</x:v>
      </x:c>
      <x:c r="L126" s="16" t="n">
        <x:f>(YEAR(IF(I126="",TODAY(),I126))-YEAR(H126))*12+MONTH(IF(I126="",TODAY(),I126))-MONTH(H126)</x:f>
        <x:v>52</x:v>
      </x:c>
      <x:c r="M126" s="36" t="n">
        <x:f>DATE(YEAR(H126),MONTH(H126),1)</x:f>
        <x:v>44256</x:v>
      </x:c>
      <x:c r="N126" s="36" t="n">
        <x:f>IF(I126="","",DATE(YEAR(I126),MONTH(I126),1))</x:f>
        <x:v>45839</x:v>
      </x:c>
    </x:row>
    <x:row r="127">
      <x:c r="A127" s="16" t="str">
        <x:v>HG-01126</x:v>
      </x:c>
      <x:c r="B127" s="16" t="str">
        <x:v>Rumana Chowdhury</x:v>
      </x:c>
      <x:c r="C127" s="16" t="str">
        <x:v>Female</x:v>
      </x:c>
      <x:c r="D127" s="16" t="str">
        <x:v>Production</x:v>
      </x:c>
      <x:c r="E127" s="16" t="str">
        <x:v>Assistant Manager - Production</x:v>
      </x:c>
      <x:c r="F127" s="16" t="str">
        <x:v>Gazipur Plant</x:v>
      </x:c>
      <x:c r="G127" s="16" t="str">
        <x:v>Permanent</x:v>
      </x:c>
      <x:c r="H127" s="35" t="n">
        <x:v>44390</x:v>
      </x:c>
      <x:c r="I127" s="35"/>
      <x:c r="J127" s="16" t="str"/>
      <x:c r="K127" s="16" t="str">
        <x:f>IF(I127="","Active","Exited")</x:f>
        <x:v>Active</x:v>
      </x:c>
      <x:c r="L127" s="16" t="n">
        <x:f>(YEAR(IF(I127="",TODAY(),I127))-YEAR(H127))*12+MONTH(IF(I127="",TODAY(),I127))-MONTH(H127)</x:f>
        <x:v>60</x:v>
      </x:c>
      <x:c r="M127" s="36" t="n">
        <x:f>DATE(YEAR(H127),MONTH(H127),1)</x:f>
        <x:v>44378</x:v>
      </x:c>
      <x:c r="N127" s="36" t="str">
        <x:f>IF(I127="","",DATE(YEAR(I127),MONTH(I127),1))</x:f>
      </x:c>
    </x:row>
    <x:row r="128">
      <x:c r="A128" s="16" t="str">
        <x:v>HG-01127</x:v>
      </x:c>
      <x:c r="B128" s="16" t="str">
        <x:v>Nusrat Hasan</x:v>
      </x:c>
      <x:c r="C128" s="16" t="str">
        <x:v>Female</x:v>
      </x:c>
      <x:c r="D128" s="16" t="str">
        <x:v>Production</x:v>
      </x:c>
      <x:c r="E128" s="16" t="str">
        <x:v>Production Officer</x:v>
      </x:c>
      <x:c r="F128" s="16" t="str">
        <x:v>Narayanganj Plant</x:v>
      </x:c>
      <x:c r="G128" s="16" t="str">
        <x:v>Permanent</x:v>
      </x:c>
      <x:c r="H128" s="35" t="n">
        <x:v>45069</x:v>
      </x:c>
      <x:c r="I128" s="35"/>
      <x:c r="J128" s="16" t="str"/>
      <x:c r="K128" s="16" t="str">
        <x:f>IF(I128="","Active","Exited")</x:f>
        <x:v>Active</x:v>
      </x:c>
      <x:c r="L128" s="16" t="n">
        <x:f>(YEAR(IF(I128="",TODAY(),I128))-YEAR(H128))*12+MONTH(IF(I128="",TODAY(),I128))-MONTH(H128)</x:f>
        <x:v>38</x:v>
      </x:c>
      <x:c r="M128" s="36" t="n">
        <x:f>DATE(YEAR(H128),MONTH(H128),1)</x:f>
        <x:v>45047</x:v>
      </x:c>
      <x:c r="N128" s="36" t="str">
        <x:f>IF(I128="","",DATE(YEAR(I128),MONTH(I128),1))</x:f>
      </x:c>
    </x:row>
    <x:row r="129">
      <x:c r="A129" s="16" t="str">
        <x:v>HG-01128</x:v>
      </x:c>
      <x:c r="B129" s="16" t="str">
        <x:v>Farhan Khan</x:v>
      </x:c>
      <x:c r="C129" s="16" t="str">
        <x:v>Male</x:v>
      </x:c>
      <x:c r="D129" s="16" t="str">
        <x:v>Production</x:v>
      </x:c>
      <x:c r="E129" s="16" t="str">
        <x:v>Assistant Manager - Production</x:v>
      </x:c>
      <x:c r="F129" s="16" t="str">
        <x:v>Dhaka Head Office</x:v>
      </x:c>
      <x:c r="G129" s="16" t="str">
        <x:v>Permanent</x:v>
      </x:c>
      <x:c r="H129" s="35" t="n">
        <x:v>44195</x:v>
      </x:c>
      <x:c r="I129" s="35"/>
      <x:c r="J129" s="16" t="str"/>
      <x:c r="K129" s="16" t="str">
        <x:f>IF(I129="","Active","Exited")</x:f>
        <x:v>Active</x:v>
      </x:c>
      <x:c r="L129" s="16" t="n">
        <x:f>(YEAR(IF(I129="",TODAY(),I129))-YEAR(H129))*12+MONTH(IF(I129="",TODAY(),I129))-MONTH(H129)</x:f>
        <x:v>67</x:v>
      </x:c>
      <x:c r="M129" s="36" t="n">
        <x:f>DATE(YEAR(H129),MONTH(H129),1)</x:f>
        <x:v>44166</x:v>
      </x:c>
      <x:c r="N129" s="36" t="str">
        <x:f>IF(I129="","",DATE(YEAR(I129),MONTH(I129),1))</x:f>
      </x:c>
    </x:row>
    <x:row r="130">
      <x:c r="A130" s="16" t="str">
        <x:v>HG-01129</x:v>
      </x:c>
      <x:c r="B130" s="16" t="str">
        <x:v>Maliha Kabir</x:v>
      </x:c>
      <x:c r="C130" s="16" t="str">
        <x:v>Female</x:v>
      </x:c>
      <x:c r="D130" s="16" t="str">
        <x:v>Administration</x:v>
      </x:c>
      <x:c r="E130" s="16" t="str">
        <x:v>Admin Executive</x:v>
      </x:c>
      <x:c r="F130" s="16" t="str">
        <x:v>Dhaka Head Office</x:v>
      </x:c>
      <x:c r="G130" s="16" t="str">
        <x:v>Permanent</x:v>
      </x:c>
      <x:c r="H130" s="35" t="n">
        <x:v>43259</x:v>
      </x:c>
      <x:c r="I130" s="35"/>
      <x:c r="J130" s="16" t="str"/>
      <x:c r="K130" s="16" t="str">
        <x:f>IF(I130="","Active","Exited")</x:f>
        <x:v>Active</x:v>
      </x:c>
      <x:c r="L130" s="16" t="n">
        <x:f>(YEAR(IF(I130="",TODAY(),I130))-YEAR(H130))*12+MONTH(IF(I130="",TODAY(),I130))-MONTH(H130)</x:f>
        <x:v>97</x:v>
      </x:c>
      <x:c r="M130" s="36" t="n">
        <x:f>DATE(YEAR(H130),MONTH(H130),1)</x:f>
        <x:v>43252</x:v>
      </x:c>
      <x:c r="N130" s="36" t="str">
        <x:f>IF(I130="","",DATE(YEAR(I130),MONTH(I130),1))</x:f>
      </x:c>
    </x:row>
    <x:row r="131">
      <x:c r="A131" s="16" t="str">
        <x:v>HG-01130</x:v>
      </x:c>
      <x:c r="B131" s="16" t="str">
        <x:v>Arif Sarker</x:v>
      </x:c>
      <x:c r="C131" s="16" t="str">
        <x:v>Male</x:v>
      </x:c>
      <x:c r="D131" s="16" t="str">
        <x:v>Production</x:v>
      </x:c>
      <x:c r="E131" s="16" t="str">
        <x:v>Senior Operator</x:v>
      </x:c>
      <x:c r="F131" s="16" t="str">
        <x:v>Gazipur Plant</x:v>
      </x:c>
      <x:c r="G131" s="16" t="str">
        <x:v>Permanent</x:v>
      </x:c>
      <x:c r="H131" s="35" t="n">
        <x:v>45163</x:v>
      </x:c>
      <x:c r="I131" s="35"/>
      <x:c r="J131" s="16" t="str"/>
      <x:c r="K131" s="16" t="str">
        <x:f>IF(I131="","Active","Exited")</x:f>
        <x:v>Active</x:v>
      </x:c>
      <x:c r="L131" s="16" t="n">
        <x:f>(YEAR(IF(I131="",TODAY(),I131))-YEAR(H131))*12+MONTH(IF(I131="",TODAY(),I131))-MONTH(H131)</x:f>
        <x:v>35</x:v>
      </x:c>
      <x:c r="M131" s="36" t="n">
        <x:f>DATE(YEAR(H131),MONTH(H131),1)</x:f>
        <x:v>45139</x:v>
      </x:c>
      <x:c r="N131" s="36" t="str">
        <x:f>IF(I131="","",DATE(YEAR(I131),MONTH(I131),1))</x:f>
      </x:c>
    </x:row>
    <x:row r="132">
      <x:c r="A132" s="16" t="str">
        <x:v>HG-01131</x:v>
      </x:c>
      <x:c r="B132" s="16" t="str">
        <x:v>Nayeem Rahman</x:v>
      </x:c>
      <x:c r="C132" s="16" t="str">
        <x:v>Male</x:v>
      </x:c>
      <x:c r="D132" s="16" t="str">
        <x:v>Production</x:v>
      </x:c>
      <x:c r="E132" s="16" t="str">
        <x:v>Production Officer</x:v>
      </x:c>
      <x:c r="F132" s="16" t="str">
        <x:v>Gazipur Plant</x:v>
      </x:c>
      <x:c r="G132" s="16" t="str">
        <x:v>Permanent</x:v>
      </x:c>
      <x:c r="H132" s="35" t="n">
        <x:v>43697</x:v>
      </x:c>
      <x:c r="I132" s="35"/>
      <x:c r="J132" s="16" t="str"/>
      <x:c r="K132" s="16" t="str">
        <x:f>IF(I132="","Active","Exited")</x:f>
        <x:v>Active</x:v>
      </x:c>
      <x:c r="L132" s="16" t="n">
        <x:f>(YEAR(IF(I132="",TODAY(),I132))-YEAR(H132))*12+MONTH(IF(I132="",TODAY(),I132))-MONTH(H132)</x:f>
        <x:v>83</x:v>
      </x:c>
      <x:c r="M132" s="36" t="n">
        <x:f>DATE(YEAR(H132),MONTH(H132),1)</x:f>
        <x:v>43678</x:v>
      </x:c>
      <x:c r="N132" s="36" t="str">
        <x:f>IF(I132="","",DATE(YEAR(I132),MONTH(I132),1))</x:f>
      </x:c>
    </x:row>
    <x:row r="133">
      <x:c r="A133" s="16" t="str">
        <x:v>HG-01132</x:v>
      </x:c>
      <x:c r="B133" s="16" t="str">
        <x:v>Mahmud Alam</x:v>
      </x:c>
      <x:c r="C133" s="16" t="str">
        <x:v>Male</x:v>
      </x:c>
      <x:c r="D133" s="16" t="str">
        <x:v>Production</x:v>
      </x:c>
      <x:c r="E133" s="16" t="str">
        <x:v>Production Operator</x:v>
      </x:c>
      <x:c r="F133" s="16" t="str">
        <x:v>Narayanganj Plant</x:v>
      </x:c>
      <x:c r="G133" s="16" t="str">
        <x:v>Permanent</x:v>
      </x:c>
      <x:c r="H133" s="35" t="n">
        <x:v>45165</x:v>
      </x:c>
      <x:c r="I133" s="35"/>
      <x:c r="J133" s="16" t="str"/>
      <x:c r="K133" s="16" t="str">
        <x:f>IF(I133="","Active","Exited")</x:f>
        <x:v>Active</x:v>
      </x:c>
      <x:c r="L133" s="16" t="n">
        <x:f>(YEAR(IF(I133="",TODAY(),I133))-YEAR(H133))*12+MONTH(IF(I133="",TODAY(),I133))-MONTH(H133)</x:f>
        <x:v>35</x:v>
      </x:c>
      <x:c r="M133" s="36" t="n">
        <x:f>DATE(YEAR(H133),MONTH(H133),1)</x:f>
        <x:v>45139</x:v>
      </x:c>
      <x:c r="N133" s="36" t="str">
        <x:f>IF(I133="","",DATE(YEAR(I133),MONTH(I133),1))</x:f>
      </x:c>
    </x:row>
    <x:row r="134">
      <x:c r="A134" s="16" t="str">
        <x:v>HG-01133</x:v>
      </x:c>
      <x:c r="B134" s="16" t="str">
        <x:v>Hasan Miah</x:v>
      </x:c>
      <x:c r="C134" s="16" t="str">
        <x:v>Male</x:v>
      </x:c>
      <x:c r="D134" s="16" t="str">
        <x:v>Production</x:v>
      </x:c>
      <x:c r="E134" s="16" t="str">
        <x:v>Production Operator</x:v>
      </x:c>
      <x:c r="F134" s="16" t="str">
        <x:v>Gazipur Plant</x:v>
      </x:c>
      <x:c r="G134" s="16" t="str">
        <x:v>Permanent</x:v>
      </x:c>
      <x:c r="H134" s="35" t="n">
        <x:v>43755</x:v>
      </x:c>
      <x:c r="I134" s="35"/>
      <x:c r="J134" s="16" t="str"/>
      <x:c r="K134" s="16" t="str">
        <x:f>IF(I134="","Active","Exited")</x:f>
        <x:v>Active</x:v>
      </x:c>
      <x:c r="L134" s="16" t="n">
        <x:f>(YEAR(IF(I134="",TODAY(),I134))-YEAR(H134))*12+MONTH(IF(I134="",TODAY(),I134))-MONTH(H134)</x:f>
        <x:v>81</x:v>
      </x:c>
      <x:c r="M134" s="36" t="n">
        <x:f>DATE(YEAR(H134),MONTH(H134),1)</x:f>
        <x:v>43739</x:v>
      </x:c>
      <x:c r="N134" s="36" t="str">
        <x:f>IF(I134="","",DATE(YEAR(I134),MONTH(I134),1))</x:f>
      </x:c>
    </x:row>
    <x:row r="135">
      <x:c r="A135" s="16" t="str">
        <x:v>HG-01134</x:v>
      </x:c>
      <x:c r="B135" s="16" t="str">
        <x:v>Arif Ahmed</x:v>
      </x:c>
      <x:c r="C135" s="16" t="str">
        <x:v>Male</x:v>
      </x:c>
      <x:c r="D135" s="16" t="str">
        <x:v>Production</x:v>
      </x:c>
      <x:c r="E135" s="16" t="str">
        <x:v>Production Operator</x:v>
      </x:c>
      <x:c r="F135" s="16" t="str">
        <x:v>Dhaka Head Office</x:v>
      </x:c>
      <x:c r="G135" s="16" t="str">
        <x:v>Permanent</x:v>
      </x:c>
      <x:c r="H135" s="35" t="n">
        <x:v>45103</x:v>
      </x:c>
      <x:c r="I135" s="35"/>
      <x:c r="J135" s="16" t="str"/>
      <x:c r="K135" s="16" t="str">
        <x:f>IF(I135="","Active","Exited")</x:f>
        <x:v>Active</x:v>
      </x:c>
      <x:c r="L135" s="16" t="n">
        <x:f>(YEAR(IF(I135="",TODAY(),I135))-YEAR(H135))*12+MONTH(IF(I135="",TODAY(),I135))-MONTH(H135)</x:f>
        <x:v>37</x:v>
      </x:c>
      <x:c r="M135" s="36" t="n">
        <x:f>DATE(YEAR(H135),MONTH(H135),1)</x:f>
        <x:v>45078</x:v>
      </x:c>
      <x:c r="N135" s="36" t="str">
        <x:f>IF(I135="","",DATE(YEAR(I135),MONTH(I135),1))</x:f>
      </x:c>
    </x:row>
    <x:row r="136">
      <x:c r="A136" s="16" t="str">
        <x:v>HG-01135</x:v>
      </x:c>
      <x:c r="B136" s="16" t="str">
        <x:v>Asif Khan</x:v>
      </x:c>
      <x:c r="C136" s="16" t="str">
        <x:v>Male</x:v>
      </x:c>
      <x:c r="D136" s="16" t="str">
        <x:v>Human Resources</x:v>
      </x:c>
      <x:c r="E136" s="16" t="str">
        <x:v>HR Executive</x:v>
      </x:c>
      <x:c r="F136" s="16" t="str">
        <x:v>Dhaka Head Office</x:v>
      </x:c>
      <x:c r="G136" s="16" t="str">
        <x:v>Permanent</x:v>
      </x:c>
      <x:c r="H136" s="35" t="n">
        <x:v>45313</x:v>
      </x:c>
      <x:c r="I136" s="35" t="n">
        <x:v>45696</x:v>
      </x:c>
      <x:c r="J136" s="16" t="str">
        <x:v>Performance</x:v>
      </x:c>
      <x:c r="K136" s="16" t="str">
        <x:f>IF(I136="","Active","Exited")</x:f>
        <x:v>Exited</x:v>
      </x:c>
      <x:c r="L136" s="16" t="n">
        <x:f>(YEAR(IF(I136="",TODAY(),I136))-YEAR(H136))*12+MONTH(IF(I136="",TODAY(),I136))-MONTH(H136)</x:f>
        <x:v>13</x:v>
      </x:c>
      <x:c r="M136" s="36" t="n">
        <x:f>DATE(YEAR(H136),MONTH(H136),1)</x:f>
        <x:v>45292</x:v>
      </x:c>
      <x:c r="N136" s="36" t="n">
        <x:f>IF(I136="","",DATE(YEAR(I136),MONTH(I136),1))</x:f>
        <x:v>45689</x:v>
      </x:c>
    </x:row>
    <x:row r="137">
      <x:c r="A137" s="16" t="str">
        <x:v>HG-01136</x:v>
      </x:c>
      <x:c r="B137" s="16" t="str">
        <x:v>Mehedi Miah</x:v>
      </x:c>
      <x:c r="C137" s="16" t="str">
        <x:v>Male</x:v>
      </x:c>
      <x:c r="D137" s="16" t="str">
        <x:v>Production</x:v>
      </x:c>
      <x:c r="E137" s="16" t="str">
        <x:v>Production Officer</x:v>
      </x:c>
      <x:c r="F137" s="16" t="str">
        <x:v>Gazipur Plant</x:v>
      </x:c>
      <x:c r="G137" s="16" t="str">
        <x:v>Contract</x:v>
      </x:c>
      <x:c r="H137" s="35" t="n">
        <x:v>43874</x:v>
      </x:c>
      <x:c r="I137" s="35" t="n">
        <x:v>45684</x:v>
      </x:c>
      <x:c r="J137" s="16" t="str">
        <x:v>Work-Life Balance</x:v>
      </x:c>
      <x:c r="K137" s="16" t="str">
        <x:f>IF(I137="","Active","Exited")</x:f>
        <x:v>Exited</x:v>
      </x:c>
      <x:c r="L137" s="16" t="n">
        <x:f>(YEAR(IF(I137="",TODAY(),I137))-YEAR(H137))*12+MONTH(IF(I137="",TODAY(),I137))-MONTH(H137)</x:f>
        <x:v>59</x:v>
      </x:c>
      <x:c r="M137" s="36" t="n">
        <x:f>DATE(YEAR(H137),MONTH(H137),1)</x:f>
        <x:v>43862</x:v>
      </x:c>
      <x:c r="N137" s="36" t="n">
        <x:f>IF(I137="","",DATE(YEAR(I137),MONTH(I137),1))</x:f>
        <x:v>45658</x:v>
      </x:c>
    </x:row>
    <x:row r="138">
      <x:c r="A138" s="16" t="str">
        <x:v>HG-01137</x:v>
      </x:c>
      <x:c r="B138" s="16" t="str">
        <x:v>Rumana Begum</x:v>
      </x:c>
      <x:c r="C138" s="16" t="str">
        <x:v>Female</x:v>
      </x:c>
      <x:c r="D138" s="16" t="str">
        <x:v>Quality Assurance</x:v>
      </x:c>
      <x:c r="E138" s="16" t="str">
        <x:v>Quality Inspector</x:v>
      </x:c>
      <x:c r="F138" s="16" t="str">
        <x:v>Gazipur Plant</x:v>
      </x:c>
      <x:c r="G138" s="16" t="str">
        <x:v>Permanent</x:v>
      </x:c>
      <x:c r="H138" s="35" t="n">
        <x:v>44045</x:v>
      </x:c>
      <x:c r="I138" s="35" t="n">
        <x:v>45662</x:v>
      </x:c>
      <x:c r="J138" s="16" t="str">
        <x:v>Supervisor / Management</x:v>
      </x:c>
      <x:c r="K138" s="16" t="str">
        <x:f>IF(I138="","Active","Exited")</x:f>
        <x:v>Exited</x:v>
      </x:c>
      <x:c r="L138" s="16" t="n">
        <x:f>(YEAR(IF(I138="",TODAY(),I138))-YEAR(H138))*12+MONTH(IF(I138="",TODAY(),I138))-MONTH(H138)</x:f>
        <x:v>53</x:v>
      </x:c>
      <x:c r="M138" s="36" t="n">
        <x:f>DATE(YEAR(H138),MONTH(H138),1)</x:f>
        <x:v>44044</x:v>
      </x:c>
      <x:c r="N138" s="36" t="n">
        <x:f>IF(I138="","",DATE(YEAR(I138),MONTH(I138),1))</x:f>
        <x:v>45658</x:v>
      </x:c>
    </x:row>
    <x:row r="139">
      <x:c r="A139" s="16" t="str">
        <x:v>HG-01138</x:v>
      </x:c>
      <x:c r="B139" s="16" t="str">
        <x:v>Nazmul Khan</x:v>
      </x:c>
      <x:c r="C139" s="16" t="str">
        <x:v>Male</x:v>
      </x:c>
      <x:c r="D139" s="16" t="str">
        <x:v>Production</x:v>
      </x:c>
      <x:c r="E139" s="16" t="str">
        <x:v>Assistant Manager - Production</x:v>
      </x:c>
      <x:c r="F139" s="16" t="str">
        <x:v>Gazipur Plant</x:v>
      </x:c>
      <x:c r="G139" s="16" t="str">
        <x:v>Permanent</x:v>
      </x:c>
      <x:c r="H139" s="35" t="n">
        <x:v>44274</x:v>
      </x:c>
      <x:c r="I139" s="35"/>
      <x:c r="J139" s="16" t="str"/>
      <x:c r="K139" s="16" t="str">
        <x:f>IF(I139="","Active","Exited")</x:f>
        <x:v>Active</x:v>
      </x:c>
      <x:c r="L139" s="16" t="n">
        <x:f>(YEAR(IF(I139="",TODAY(),I139))-YEAR(H139))*12+MONTH(IF(I139="",TODAY(),I139))-MONTH(H139)</x:f>
        <x:v>64</x:v>
      </x:c>
      <x:c r="M139" s="36" t="n">
        <x:f>DATE(YEAR(H139),MONTH(H139),1)</x:f>
        <x:v>44256</x:v>
      </x:c>
      <x:c r="N139" s="36" t="str">
        <x:f>IF(I139="","",DATE(YEAR(I139),MONTH(I139),1))</x:f>
      </x:c>
    </x:row>
    <x:row r="140">
      <x:c r="A140" s="16" t="str">
        <x:v>HG-01139</x:v>
      </x:c>
      <x:c r="B140" s="16" t="str">
        <x:v>Mehedi Alam</x:v>
      </x:c>
      <x:c r="C140" s="16" t="str">
        <x:v>Male</x:v>
      </x:c>
      <x:c r="D140" s="16" t="str">
        <x:v>Sales &amp; Marketing</x:v>
      </x:c>
      <x:c r="E140" s="16" t="str">
        <x:v>Sales Executive</x:v>
      </x:c>
      <x:c r="F140" s="16" t="str">
        <x:v>Chattogram Office</x:v>
      </x:c>
      <x:c r="G140" s="16" t="str">
        <x:v>Permanent</x:v>
      </x:c>
      <x:c r="H140" s="35" t="n">
        <x:v>45504</x:v>
      </x:c>
      <x:c r="I140" s="35"/>
      <x:c r="J140" s="16" t="str"/>
      <x:c r="K140" s="16" t="str">
        <x:f>IF(I140="","Active","Exited")</x:f>
        <x:v>Active</x:v>
      </x:c>
      <x:c r="L140" s="16" t="n">
        <x:f>(YEAR(IF(I140="",TODAY(),I140))-YEAR(H140))*12+MONTH(IF(I140="",TODAY(),I140))-MONTH(H140)</x:f>
        <x:v>24</x:v>
      </x:c>
      <x:c r="M140" s="36" t="n">
        <x:f>DATE(YEAR(H140),MONTH(H140),1)</x:f>
        <x:v>45474</x:v>
      </x:c>
      <x:c r="N140" s="36" t="str">
        <x:f>IF(I140="","",DATE(YEAR(I140),MONTH(I140),1))</x:f>
      </x:c>
    </x:row>
    <x:row r="141">
      <x:c r="A141" s="16" t="str">
        <x:v>HG-01140</x:v>
      </x:c>
      <x:c r="B141" s="16" t="str">
        <x:v>Foysal Sarker</x:v>
      </x:c>
      <x:c r="C141" s="16" t="str">
        <x:v>Male</x:v>
      </x:c>
      <x:c r="D141" s="16" t="str">
        <x:v>Administration</x:v>
      </x:c>
      <x:c r="E141" s="16" t="str">
        <x:v>Senior Admin Executive</x:v>
      </x:c>
      <x:c r="F141" s="16" t="str">
        <x:v>Chattogram Office</x:v>
      </x:c>
      <x:c r="G141" s="16" t="str">
        <x:v>Permanent</x:v>
      </x:c>
      <x:c r="H141" s="35" t="n">
        <x:v>44956</x:v>
      </x:c>
      <x:c r="I141" s="35" t="n">
        <x:v>45837</x:v>
      </x:c>
      <x:c r="J141" s="16" t="str">
        <x:v>End of Contract</x:v>
      </x:c>
      <x:c r="K141" s="16" t="str">
        <x:f>IF(I141="","Active","Exited")</x:f>
        <x:v>Exited</x:v>
      </x:c>
      <x:c r="L141" s="16" t="n">
        <x:f>(YEAR(IF(I141="",TODAY(),I141))-YEAR(H141))*12+MONTH(IF(I141="",TODAY(),I141))-MONTH(H141)</x:f>
        <x:v>29</x:v>
      </x:c>
      <x:c r="M141" s="36" t="n">
        <x:f>DATE(YEAR(H141),MONTH(H141),1)</x:f>
        <x:v>44927</x:v>
      </x:c>
      <x:c r="N141" s="36" t="n">
        <x:f>IF(I141="","",DATE(YEAR(I141),MONTH(I141),1))</x:f>
        <x:v>45809</x:v>
      </x:c>
    </x:row>
    <x:row r="142">
      <x:c r="A142" s="16" t="str">
        <x:v>HG-01141</x:v>
      </x:c>
      <x:c r="B142" s="16" t="str">
        <x:v>Jubayer Kabir</x:v>
      </x:c>
      <x:c r="C142" s="16" t="str">
        <x:v>Male</x:v>
      </x:c>
      <x:c r="D142" s="16" t="str">
        <x:v>Production</x:v>
      </x:c>
      <x:c r="E142" s="16" t="str">
        <x:v>Assistant Manager - Production</x:v>
      </x:c>
      <x:c r="F142" s="16" t="str">
        <x:v>Narayanganj Plant</x:v>
      </x:c>
      <x:c r="G142" s="16" t="str">
        <x:v>Permanent</x:v>
      </x:c>
      <x:c r="H142" s="35" t="n">
        <x:v>45414</x:v>
      </x:c>
      <x:c r="I142" s="35"/>
      <x:c r="J142" s="16" t="str"/>
      <x:c r="K142" s="16" t="str">
        <x:f>IF(I142="","Active","Exited")</x:f>
        <x:v>Active</x:v>
      </x:c>
      <x:c r="L142" s="16" t="n">
        <x:f>(YEAR(IF(I142="",TODAY(),I142))-YEAR(H142))*12+MONTH(IF(I142="",TODAY(),I142))-MONTH(H142)</x:f>
        <x:v>26</x:v>
      </x:c>
      <x:c r="M142" s="36" t="n">
        <x:f>DATE(YEAR(H142),MONTH(H142),1)</x:f>
        <x:v>45413</x:v>
      </x:c>
      <x:c r="N142" s="36" t="str">
        <x:f>IF(I142="","",DATE(YEAR(I142),MONTH(I142),1))</x:f>
      </x:c>
    </x:row>
    <x:row r="143">
      <x:c r="A143" s="16" t="str">
        <x:v>HG-01142</x:v>
      </x:c>
      <x:c r="B143" s="16" t="str">
        <x:v>Tanvir Hossain</x:v>
      </x:c>
      <x:c r="C143" s="16" t="str">
        <x:v>Male</x:v>
      </x:c>
      <x:c r="D143" s="16" t="str">
        <x:v>Production</x:v>
      </x:c>
      <x:c r="E143" s="16" t="str">
        <x:v>Production Officer</x:v>
      </x:c>
      <x:c r="F143" s="16" t="str">
        <x:v>Gazipur Plant</x:v>
      </x:c>
      <x:c r="G143" s="16" t="str">
        <x:v>Permanent</x:v>
      </x:c>
      <x:c r="H143" s="35" t="n">
        <x:v>44733</x:v>
      </x:c>
      <x:c r="I143" s="35"/>
      <x:c r="J143" s="16" t="str"/>
      <x:c r="K143" s="16" t="str">
        <x:f>IF(I143="","Active","Exited")</x:f>
        <x:v>Active</x:v>
      </x:c>
      <x:c r="L143" s="16" t="n">
        <x:f>(YEAR(IF(I143="",TODAY(),I143))-YEAR(H143))*12+MONTH(IF(I143="",TODAY(),I143))-MONTH(H143)</x:f>
        <x:v>49</x:v>
      </x:c>
      <x:c r="M143" s="36" t="n">
        <x:f>DATE(YEAR(H143),MONTH(H143),1)</x:f>
        <x:v>44713</x:v>
      </x:c>
      <x:c r="N143" s="36" t="str">
        <x:f>IF(I143="","",DATE(YEAR(I143),MONTH(I143),1))</x:f>
      </x:c>
    </x:row>
    <x:row r="144">
      <x:c r="A144" s="16" t="str">
        <x:v>HG-01143</x:v>
      </x:c>
      <x:c r="B144" s="16" t="str">
        <x:v>Foysal Sarker</x:v>
      </x:c>
      <x:c r="C144" s="16" t="str">
        <x:v>Male</x:v>
      </x:c>
      <x:c r="D144" s="16" t="str">
        <x:v>Sales &amp; Marketing</x:v>
      </x:c>
      <x:c r="E144" s="16" t="str">
        <x:v>Sales Executive</x:v>
      </x:c>
      <x:c r="F144" s="16" t="str">
        <x:v>Dhaka Head Office</x:v>
      </x:c>
      <x:c r="G144" s="16" t="str">
        <x:v>Permanent</x:v>
      </x:c>
      <x:c r="H144" s="35" t="n">
        <x:v>45243</x:v>
      </x:c>
      <x:c r="I144" s="35"/>
      <x:c r="J144" s="16" t="str"/>
      <x:c r="K144" s="16" t="str">
        <x:f>IF(I144="","Active","Exited")</x:f>
        <x:v>Active</x:v>
      </x:c>
      <x:c r="L144" s="16" t="n">
        <x:f>(YEAR(IF(I144="",TODAY(),I144))-YEAR(H144))*12+MONTH(IF(I144="",TODAY(),I144))-MONTH(H144)</x:f>
        <x:v>32</x:v>
      </x:c>
      <x:c r="M144" s="36" t="n">
        <x:f>DATE(YEAR(H144),MONTH(H144),1)</x:f>
        <x:v>45231</x:v>
      </x:c>
      <x:c r="N144" s="36" t="str">
        <x:f>IF(I144="","",DATE(YEAR(I144),MONTH(I144),1))</x:f>
      </x:c>
    </x:row>
    <x:row r="145">
      <x:c r="A145" s="16" t="str">
        <x:v>HG-01144</x:v>
      </x:c>
      <x:c r="B145" s="16" t="str">
        <x:v>Mehedi Islam</x:v>
      </x:c>
      <x:c r="C145" s="16" t="str">
        <x:v>Male</x:v>
      </x:c>
      <x:c r="D145" s="16" t="str">
        <x:v>Production</x:v>
      </x:c>
      <x:c r="E145" s="16" t="str">
        <x:v>Line Supervisor</x:v>
      </x:c>
      <x:c r="F145" s="16" t="str">
        <x:v>Narayanganj Plant</x:v>
      </x:c>
      <x:c r="G145" s="16" t="str">
        <x:v>Probation</x:v>
      </x:c>
      <x:c r="H145" s="35" t="n">
        <x:v>43167</x:v>
      </x:c>
      <x:c r="I145" s="35" t="n">
        <x:v>45668</x:v>
      </x:c>
      <x:c r="J145" s="16" t="str">
        <x:v>Compensation &amp; Benefits</x:v>
      </x:c>
      <x:c r="K145" s="16" t="str">
        <x:f>IF(I145="","Active","Exited")</x:f>
        <x:v>Exited</x:v>
      </x:c>
      <x:c r="L145" s="16" t="n">
        <x:f>(YEAR(IF(I145="",TODAY(),I145))-YEAR(H145))*12+MONTH(IF(I145="",TODAY(),I145))-MONTH(H145)</x:f>
        <x:v>82</x:v>
      </x:c>
      <x:c r="M145" s="36" t="n">
        <x:f>DATE(YEAR(H145),MONTH(H145),1)</x:f>
        <x:v>43160</x:v>
      </x:c>
      <x:c r="N145" s="36" t="n">
        <x:f>IF(I145="","",DATE(YEAR(I145),MONTH(I145),1))</x:f>
        <x:v>45658</x:v>
      </x:c>
    </x:row>
    <x:row r="146">
      <x:c r="A146" s="16" t="str">
        <x:v>HG-01145</x:v>
      </x:c>
      <x:c r="B146" s="16" t="str">
        <x:v>Mehedi Kabir</x:v>
      </x:c>
      <x:c r="C146" s="16" t="str">
        <x:v>Male</x:v>
      </x:c>
      <x:c r="D146" s="16" t="str">
        <x:v>Administration</x:v>
      </x:c>
      <x:c r="E146" s="16" t="str">
        <x:v>Assistant Manager - Admin</x:v>
      </x:c>
      <x:c r="F146" s="16" t="str">
        <x:v>Gazipur Plant</x:v>
      </x:c>
      <x:c r="G146" s="16" t="str">
        <x:v>Permanent</x:v>
      </x:c>
      <x:c r="H146" s="35" t="n">
        <x:v>43739</x:v>
      </x:c>
      <x:c r="I146" s="35"/>
      <x:c r="J146" s="16" t="str"/>
      <x:c r="K146" s="16" t="str">
        <x:f>IF(I146="","Active","Exited")</x:f>
        <x:v>Active</x:v>
      </x:c>
      <x:c r="L146" s="16" t="n">
        <x:f>(YEAR(IF(I146="",TODAY(),I146))-YEAR(H146))*12+MONTH(IF(I146="",TODAY(),I146))-MONTH(H146)</x:f>
        <x:v>81</x:v>
      </x:c>
      <x:c r="M146" s="36" t="n">
        <x:f>DATE(YEAR(H146),MONTH(H146),1)</x:f>
        <x:v>43739</x:v>
      </x:c>
      <x:c r="N146" s="36" t="str">
        <x:f>IF(I146="","",DATE(YEAR(I146),MONTH(I146),1))</x:f>
      </x:c>
    </x:row>
    <x:row r="147">
      <x:c r="A147" s="16" t="str">
        <x:v>HG-01146</x:v>
      </x:c>
      <x:c r="B147" s="16" t="str">
        <x:v>Hasan Chowdhury</x:v>
      </x:c>
      <x:c r="C147" s="16" t="str">
        <x:v>Male</x:v>
      </x:c>
      <x:c r="D147" s="16" t="str">
        <x:v>Production</x:v>
      </x:c>
      <x:c r="E147" s="16" t="str">
        <x:v>Line Supervisor</x:v>
      </x:c>
      <x:c r="F147" s="16" t="str">
        <x:v>Narayanganj Plant</x:v>
      </x:c>
      <x:c r="G147" s="16" t="str">
        <x:v>Permanent</x:v>
      </x:c>
      <x:c r="H147" s="35" t="n">
        <x:v>45624</x:v>
      </x:c>
      <x:c r="I147" s="35"/>
      <x:c r="J147" s="16" t="str"/>
      <x:c r="K147" s="16" t="str">
        <x:f>IF(I147="","Active","Exited")</x:f>
        <x:v>Active</x:v>
      </x:c>
      <x:c r="L147" s="16" t="n">
        <x:f>(YEAR(IF(I147="",TODAY(),I147))-YEAR(H147))*12+MONTH(IF(I147="",TODAY(),I147))-MONTH(H147)</x:f>
        <x:v>20</x:v>
      </x:c>
      <x:c r="M147" s="36" t="n">
        <x:f>DATE(YEAR(H147),MONTH(H147),1)</x:f>
        <x:v>45597</x:v>
      </x:c>
      <x:c r="N147" s="36" t="str">
        <x:f>IF(I147="","",DATE(YEAR(I147),MONTH(I147),1))</x:f>
      </x:c>
    </x:row>
    <x:row r="148">
      <x:c r="A148" s="16" t="str">
        <x:v>HG-01147</x:v>
      </x:c>
      <x:c r="B148" s="16" t="str">
        <x:v>Nabila Rahman</x:v>
      </x:c>
      <x:c r="C148" s="16" t="str">
        <x:v>Female</x:v>
      </x:c>
      <x:c r="D148" s="16" t="str">
        <x:v>Finance &amp; Accounts</x:v>
      </x:c>
      <x:c r="E148" s="16" t="str">
        <x:v>Finance Officer</x:v>
      </x:c>
      <x:c r="F148" s="16" t="str">
        <x:v>Dhaka Head Office</x:v>
      </x:c>
      <x:c r="G148" s="16" t="str">
        <x:v>Permanent</x:v>
      </x:c>
      <x:c r="H148" s="35" t="n">
        <x:v>44522</x:v>
      </x:c>
      <x:c r="I148" s="35" t="n">
        <x:v>45834</x:v>
      </x:c>
      <x:c r="J148" s="16" t="str">
        <x:v>Better Opportunity</x:v>
      </x:c>
      <x:c r="K148" s="16" t="str">
        <x:f>IF(I148="","Active","Exited")</x:f>
        <x:v>Exited</x:v>
      </x:c>
      <x:c r="L148" s="16" t="n">
        <x:f>(YEAR(IF(I148="",TODAY(),I148))-YEAR(H148))*12+MONTH(IF(I148="",TODAY(),I148))-MONTH(H148)</x:f>
        <x:v>43</x:v>
      </x:c>
      <x:c r="M148" s="36" t="n">
        <x:f>DATE(YEAR(H148),MONTH(H148),1)</x:f>
        <x:v>44501</x:v>
      </x:c>
      <x:c r="N148" s="36" t="n">
        <x:f>IF(I148="","",DATE(YEAR(I148),MONTH(I148),1))</x:f>
        <x:v>45809</x:v>
      </x:c>
    </x:row>
    <x:row r="149">
      <x:c r="A149" s="16" t="str">
        <x:v>HG-01148</x:v>
      </x:c>
      <x:c r="B149" s="16" t="str">
        <x:v>Asif Islam</x:v>
      </x:c>
      <x:c r="C149" s="16" t="str">
        <x:v>Male</x:v>
      </x:c>
      <x:c r="D149" s="16" t="str">
        <x:v>Information Technology</x:v>
      </x:c>
      <x:c r="E149" s="16" t="str">
        <x:v>Assistant Manager - IT</x:v>
      </x:c>
      <x:c r="F149" s="16" t="str">
        <x:v>Gazipur Plant</x:v>
      </x:c>
      <x:c r="G149" s="16" t="str">
        <x:v>Permanent</x:v>
      </x:c>
      <x:c r="H149" s="35" t="n">
        <x:v>42947</x:v>
      </x:c>
      <x:c r="I149" s="35"/>
      <x:c r="J149" s="16" t="str"/>
      <x:c r="K149" s="16" t="str">
        <x:f>IF(I149="","Active","Exited")</x:f>
        <x:v>Active</x:v>
      </x:c>
      <x:c r="L149" s="16" t="n">
        <x:f>(YEAR(IF(I149="",TODAY(),I149))-YEAR(H149))*12+MONTH(IF(I149="",TODAY(),I149))-MONTH(H149)</x:f>
        <x:v>108</x:v>
      </x:c>
      <x:c r="M149" s="36" t="n">
        <x:f>DATE(YEAR(H149),MONTH(H149),1)</x:f>
        <x:v>42917</x:v>
      </x:c>
      <x:c r="N149" s="36" t="str">
        <x:f>IF(I149="","",DATE(YEAR(I149),MONTH(I149),1))</x:f>
      </x:c>
    </x:row>
    <x:row r="150">
      <x:c r="A150" s="16" t="str">
        <x:v>HG-01149</x:v>
      </x:c>
      <x:c r="B150" s="16" t="str">
        <x:v>Nazmul Rahman</x:v>
      </x:c>
      <x:c r="C150" s="16" t="str">
        <x:v>Male</x:v>
      </x:c>
      <x:c r="D150" s="16" t="str">
        <x:v>Production</x:v>
      </x:c>
      <x:c r="E150" s="16" t="str">
        <x:v>Senior Operator</x:v>
      </x:c>
      <x:c r="F150" s="16" t="str">
        <x:v>Gazipur Plant</x:v>
      </x:c>
      <x:c r="G150" s="16" t="str">
        <x:v>Permanent</x:v>
      </x:c>
      <x:c r="H150" s="35" t="n">
        <x:v>43713</x:v>
      </x:c>
      <x:c r="I150" s="35"/>
      <x:c r="J150" s="16" t="str"/>
      <x:c r="K150" s="16" t="str">
        <x:f>IF(I150="","Active","Exited")</x:f>
        <x:v>Active</x:v>
      </x:c>
      <x:c r="L150" s="16" t="n">
        <x:f>(YEAR(IF(I150="",TODAY(),I150))-YEAR(H150))*12+MONTH(IF(I150="",TODAY(),I150))-MONTH(H150)</x:f>
        <x:v>82</x:v>
      </x:c>
      <x:c r="M150" s="36" t="n">
        <x:f>DATE(YEAR(H150),MONTH(H150),1)</x:f>
        <x:v>43709</x:v>
      </x:c>
      <x:c r="N150" s="36" t="str">
        <x:f>IF(I150="","",DATE(YEAR(I150),MONTH(I150),1))</x:f>
      </x:c>
    </x:row>
    <x:row r="151">
      <x:c r="A151" s="16" t="str">
        <x:v>HG-01150</x:v>
      </x:c>
      <x:c r="B151" s="16" t="str">
        <x:v>Farhan Hossain</x:v>
      </x:c>
      <x:c r="C151" s="16" t="str">
        <x:v>Male</x:v>
      </x:c>
      <x:c r="D151" s="16" t="str">
        <x:v>Supply Chain</x:v>
      </x:c>
      <x:c r="E151" s="16" t="str">
        <x:v>Procurement Executive</x:v>
      </x:c>
      <x:c r="F151" s="16" t="str">
        <x:v>Gazipur Plant</x:v>
      </x:c>
      <x:c r="G151" s="16" t="str">
        <x:v>Permanent</x:v>
      </x:c>
      <x:c r="H151" s="35" t="n">
        <x:v>42922</x:v>
      </x:c>
      <x:c r="I151" s="35" t="n">
        <x:v>45728</x:v>
      </x:c>
      <x:c r="J151" s="16" t="str">
        <x:v>Personal / Family</x:v>
      </x:c>
      <x:c r="K151" s="16" t="str">
        <x:f>IF(I151="","Active","Exited")</x:f>
        <x:v>Exited</x:v>
      </x:c>
      <x:c r="L151" s="16" t="n">
        <x:f>(YEAR(IF(I151="",TODAY(),I151))-YEAR(H151))*12+MONTH(IF(I151="",TODAY(),I151))-MONTH(H151)</x:f>
        <x:v>92</x:v>
      </x:c>
      <x:c r="M151" s="36" t="n">
        <x:f>DATE(YEAR(H151),MONTH(H151),1)</x:f>
        <x:v>42917</x:v>
      </x:c>
      <x:c r="N151" s="36" t="n">
        <x:f>IF(I151="","",DATE(YEAR(I151),MONTH(I151),1))</x:f>
        <x:v>45717</x:v>
      </x:c>
    </x:row>
    <x:row r="152">
      <x:c r="A152" s="16" t="str">
        <x:v>HG-01151</x:v>
      </x:c>
      <x:c r="B152" s="16" t="str">
        <x:v>Asif Islam</x:v>
      </x:c>
      <x:c r="C152" s="16" t="str">
        <x:v>Male</x:v>
      </x:c>
      <x:c r="D152" s="16" t="str">
        <x:v>Quality Assurance</x:v>
      </x:c>
      <x:c r="E152" s="16" t="str">
        <x:v>Senior QA Executive</x:v>
      </x:c>
      <x:c r="F152" s="16" t="str">
        <x:v>Dhaka Head Office</x:v>
      </x:c>
      <x:c r="G152" s="16" t="str">
        <x:v>Contract</x:v>
      </x:c>
      <x:c r="H152" s="35" t="n">
        <x:v>44808</x:v>
      </x:c>
      <x:c r="I152" s="35"/>
      <x:c r="J152" s="16" t="str"/>
      <x:c r="K152" s="16" t="str">
        <x:f>IF(I152="","Active","Exited")</x:f>
        <x:v>Active</x:v>
      </x:c>
      <x:c r="L152" s="16" t="n">
        <x:f>(YEAR(IF(I152="",TODAY(),I152))-YEAR(H152))*12+MONTH(IF(I152="",TODAY(),I152))-MONTH(H152)</x:f>
        <x:v>46</x:v>
      </x:c>
      <x:c r="M152" s="36" t="n">
        <x:f>DATE(YEAR(H152),MONTH(H152),1)</x:f>
        <x:v>44805</x:v>
      </x:c>
      <x:c r="N152" s="36" t="str">
        <x:f>IF(I152="","",DATE(YEAR(I152),MONTH(I152),1))</x:f>
      </x:c>
    </x:row>
    <x:row r="153">
      <x:c r="A153" s="16" t="str">
        <x:v>HG-01152</x:v>
      </x:c>
      <x:c r="B153" s="16" t="str">
        <x:v>Mim Alam</x:v>
      </x:c>
      <x:c r="C153" s="16" t="str">
        <x:v>Female</x:v>
      </x:c>
      <x:c r="D153" s="16" t="str">
        <x:v>Production</x:v>
      </x:c>
      <x:c r="E153" s="16" t="str">
        <x:v>Assistant Manager - Production</x:v>
      </x:c>
      <x:c r="F153" s="16" t="str">
        <x:v>Dhaka Head Office</x:v>
      </x:c>
      <x:c r="G153" s="16" t="str">
        <x:v>Permanent</x:v>
      </x:c>
      <x:c r="H153" s="35" t="n">
        <x:v>45123</x:v>
      </x:c>
      <x:c r="I153" s="35"/>
      <x:c r="J153" s="16" t="str"/>
      <x:c r="K153" s="16" t="str">
        <x:f>IF(I153="","Active","Exited")</x:f>
        <x:v>Active</x:v>
      </x:c>
      <x:c r="L153" s="16" t="n">
        <x:f>(YEAR(IF(I153="",TODAY(),I153))-YEAR(H153))*12+MONTH(IF(I153="",TODAY(),I153))-MONTH(H153)</x:f>
        <x:v>36</x:v>
      </x:c>
      <x:c r="M153" s="36" t="n">
        <x:f>DATE(YEAR(H153),MONTH(H153),1)</x:f>
        <x:v>45108</x:v>
      </x:c>
      <x:c r="N153" s="36" t="str">
        <x:f>IF(I153="","",DATE(YEAR(I153),MONTH(I153),1))</x:f>
      </x:c>
    </x:row>
    <x:row r="154">
      <x:c r="A154" s="16" t="str">
        <x:v>HG-01153</x:v>
      </x:c>
      <x:c r="B154" s="16" t="str">
        <x:v>Fahim Ahmed</x:v>
      </x:c>
      <x:c r="C154" s="16" t="str">
        <x:v>Male</x:v>
      </x:c>
      <x:c r="D154" s="16" t="str">
        <x:v>Human Resources</x:v>
      </x:c>
      <x:c r="E154" s="16" t="str">
        <x:v>Assistant Manager - HR</x:v>
      </x:c>
      <x:c r="F154" s="16" t="str">
        <x:v>Dhaka Head Office</x:v>
      </x:c>
      <x:c r="G154" s="16" t="str">
        <x:v>Permanent</x:v>
      </x:c>
      <x:c r="H154" s="35" t="n">
        <x:v>44829</x:v>
      </x:c>
      <x:c r="I154" s="35"/>
      <x:c r="J154" s="16" t="str"/>
      <x:c r="K154" s="16" t="str">
        <x:f>IF(I154="","Active","Exited")</x:f>
        <x:v>Active</x:v>
      </x:c>
      <x:c r="L154" s="16" t="n">
        <x:f>(YEAR(IF(I154="",TODAY(),I154))-YEAR(H154))*12+MONTH(IF(I154="",TODAY(),I154))-MONTH(H154)</x:f>
        <x:v>46</x:v>
      </x:c>
      <x:c r="M154" s="36" t="n">
        <x:f>DATE(YEAR(H154),MONTH(H154),1)</x:f>
        <x:v>44805</x:v>
      </x:c>
      <x:c r="N154" s="36" t="str">
        <x:f>IF(I154="","",DATE(YEAR(I154),MONTH(I154),1))</x:f>
      </x:c>
    </x:row>
    <x:row r="155">
      <x:c r="A155" s="16" t="str">
        <x:v>HG-01154</x:v>
      </x:c>
      <x:c r="B155" s="16" t="str">
        <x:v>Mahmud Rahman</x:v>
      </x:c>
      <x:c r="C155" s="16" t="str">
        <x:v>Male</x:v>
      </x:c>
      <x:c r="D155" s="16" t="str">
        <x:v>Administration</x:v>
      </x:c>
      <x:c r="E155" s="16" t="str">
        <x:v>Facility Officer</x:v>
      </x:c>
      <x:c r="F155" s="16" t="str">
        <x:v>Dhaka Head Office</x:v>
      </x:c>
      <x:c r="G155" s="16" t="str">
        <x:v>Permanent</x:v>
      </x:c>
      <x:c r="H155" s="35" t="n">
        <x:v>44105</x:v>
      </x:c>
      <x:c r="I155" s="35"/>
      <x:c r="J155" s="16" t="str"/>
      <x:c r="K155" s="16" t="str">
        <x:f>IF(I155="","Active","Exited")</x:f>
        <x:v>Active</x:v>
      </x:c>
      <x:c r="L155" s="16" t="n">
        <x:f>(YEAR(IF(I155="",TODAY(),I155))-YEAR(H155))*12+MONTH(IF(I155="",TODAY(),I155))-MONTH(H155)</x:f>
        <x:v>69</x:v>
      </x:c>
      <x:c r="M155" s="36" t="n">
        <x:f>DATE(YEAR(H155),MONTH(H155),1)</x:f>
        <x:v>44105</x:v>
      </x:c>
      <x:c r="N155" s="36" t="str">
        <x:f>IF(I155="","",DATE(YEAR(I155),MONTH(I155),1))</x:f>
      </x:c>
    </x:row>
    <x:row r="156">
      <x:c r="A156" s="16" t="str">
        <x:v>HG-01155</x:v>
      </x:c>
      <x:c r="B156" s="16" t="str">
        <x:v>Mehedi Kabir</x:v>
      </x:c>
      <x:c r="C156" s="16" t="str">
        <x:v>Male</x:v>
      </x:c>
      <x:c r="D156" s="16" t="str">
        <x:v>Information Technology</x:v>
      </x:c>
      <x:c r="E156" s="16" t="str">
        <x:v>Assistant Manager - IT</x:v>
      </x:c>
      <x:c r="F156" s="16" t="str">
        <x:v>Dhaka Head Office</x:v>
      </x:c>
      <x:c r="G156" s="16" t="str">
        <x:v>Permanent</x:v>
      </x:c>
      <x:c r="H156" s="35" t="n">
        <x:v>44832</x:v>
      </x:c>
      <x:c r="I156" s="35"/>
      <x:c r="J156" s="16" t="str"/>
      <x:c r="K156" s="16" t="str">
        <x:f>IF(I156="","Active","Exited")</x:f>
        <x:v>Active</x:v>
      </x:c>
      <x:c r="L156" s="16" t="n">
        <x:f>(YEAR(IF(I156="",TODAY(),I156))-YEAR(H156))*12+MONTH(IF(I156="",TODAY(),I156))-MONTH(H156)</x:f>
        <x:v>46</x:v>
      </x:c>
      <x:c r="M156" s="36" t="n">
        <x:f>DATE(YEAR(H156),MONTH(H156),1)</x:f>
        <x:v>44805</x:v>
      </x:c>
      <x:c r="N156" s="36" t="str">
        <x:f>IF(I156="","",DATE(YEAR(I156),MONTH(I156),1))</x:f>
      </x:c>
    </x:row>
    <x:row r="157">
      <x:c r="A157" s="16" t="str">
        <x:v>HG-01156</x:v>
      </x:c>
      <x:c r="B157" s="16" t="str">
        <x:v>Mim Sarker</x:v>
      </x:c>
      <x:c r="C157" s="16" t="str">
        <x:v>Female</x:v>
      </x:c>
      <x:c r="D157" s="16" t="str">
        <x:v>Production</x:v>
      </x:c>
      <x:c r="E157" s="16" t="str">
        <x:v>Senior Operator</x:v>
      </x:c>
      <x:c r="F157" s="16" t="str">
        <x:v>Chattogram Office</x:v>
      </x:c>
      <x:c r="G157" s="16" t="str">
        <x:v>Permanent</x:v>
      </x:c>
      <x:c r="H157" s="35" t="n">
        <x:v>45293</x:v>
      </x:c>
      <x:c r="I157" s="35"/>
      <x:c r="J157" s="16" t="str"/>
      <x:c r="K157" s="16" t="str">
        <x:f>IF(I157="","Active","Exited")</x:f>
        <x:v>Active</x:v>
      </x:c>
      <x:c r="L157" s="16" t="n">
        <x:f>(YEAR(IF(I157="",TODAY(),I157))-YEAR(H157))*12+MONTH(IF(I157="",TODAY(),I157))-MONTH(H157)</x:f>
        <x:v>30</x:v>
      </x:c>
      <x:c r="M157" s="36" t="n">
        <x:f>DATE(YEAR(H157),MONTH(H157),1)</x:f>
        <x:v>45292</x:v>
      </x:c>
      <x:c r="N157" s="36" t="str">
        <x:f>IF(I157="","",DATE(YEAR(I157),MONTH(I157),1))</x:f>
      </x:c>
    </x:row>
    <x:row r="158">
      <x:c r="A158" s="16" t="str">
        <x:v>HG-01157</x:v>
      </x:c>
      <x:c r="B158" s="16" t="str">
        <x:v>Mehedi Miah</x:v>
      </x:c>
      <x:c r="C158" s="16" t="str">
        <x:v>Male</x:v>
      </x:c>
      <x:c r="D158" s="16" t="str">
        <x:v>Finance &amp; Accounts</x:v>
      </x:c>
      <x:c r="E158" s="16" t="str">
        <x:v>Senior Accounts Executive</x:v>
      </x:c>
      <x:c r="F158" s="16" t="str">
        <x:v>Narayanganj Plant</x:v>
      </x:c>
      <x:c r="G158" s="16" t="str">
        <x:v>Contract</x:v>
      </x:c>
      <x:c r="H158" s="35" t="n">
        <x:v>43261</x:v>
      </x:c>
      <x:c r="I158" s="35"/>
      <x:c r="J158" s="16" t="str"/>
      <x:c r="K158" s="16" t="str">
        <x:f>IF(I158="","Active","Exited")</x:f>
        <x:v>Active</x:v>
      </x:c>
      <x:c r="L158" s="16" t="n">
        <x:f>(YEAR(IF(I158="",TODAY(),I158))-YEAR(H158))*12+MONTH(IF(I158="",TODAY(),I158))-MONTH(H158)</x:f>
        <x:v>97</x:v>
      </x:c>
      <x:c r="M158" s="36" t="n">
        <x:f>DATE(YEAR(H158),MONTH(H158),1)</x:f>
        <x:v>43252</x:v>
      </x:c>
      <x:c r="N158" s="36" t="str">
        <x:f>IF(I158="","",DATE(YEAR(I158),MONTH(I158),1))</x:f>
      </x:c>
    </x:row>
    <x:row r="159">
      <x:c r="A159" s="16" t="str">
        <x:v>HG-01158</x:v>
      </x:c>
      <x:c r="B159" s="16" t="str">
        <x:v>Tanvir Hasan</x:v>
      </x:c>
      <x:c r="C159" s="16" t="str">
        <x:v>Male</x:v>
      </x:c>
      <x:c r="D159" s="16" t="str">
        <x:v>Production</x:v>
      </x:c>
      <x:c r="E159" s="16" t="str">
        <x:v>Production Officer</x:v>
      </x:c>
      <x:c r="F159" s="16" t="str">
        <x:v>Gazipur Plant</x:v>
      </x:c>
      <x:c r="G159" s="16" t="str">
        <x:v>Permanent</x:v>
      </x:c>
      <x:c r="H159" s="35" t="n">
        <x:v>45036</x:v>
      </x:c>
      <x:c r="I159" s="35"/>
      <x:c r="J159" s="16" t="str"/>
      <x:c r="K159" s="16" t="str">
        <x:f>IF(I159="","Active","Exited")</x:f>
        <x:v>Active</x:v>
      </x:c>
      <x:c r="L159" s="16" t="n">
        <x:f>(YEAR(IF(I159="",TODAY(),I159))-YEAR(H159))*12+MONTH(IF(I159="",TODAY(),I159))-MONTH(H159)</x:f>
        <x:v>39</x:v>
      </x:c>
      <x:c r="M159" s="36" t="n">
        <x:f>DATE(YEAR(H159),MONTH(H159),1)</x:f>
        <x:v>45017</x:v>
      </x:c>
      <x:c r="N159" s="36" t="str">
        <x:f>IF(I159="","",DATE(YEAR(I159),MONTH(I159),1))</x:f>
      </x:c>
    </x:row>
    <x:row r="160">
      <x:c r="A160" s="16" t="str">
        <x:v>HG-01159</x:v>
      </x:c>
      <x:c r="B160" s="16" t="str">
        <x:v>Arif Sarker</x:v>
      </x:c>
      <x:c r="C160" s="16" t="str">
        <x:v>Male</x:v>
      </x:c>
      <x:c r="D160" s="16" t="str">
        <x:v>Information Technology</x:v>
      </x:c>
      <x:c r="E160" s="16" t="str">
        <x:v>Software Executive</x:v>
      </x:c>
      <x:c r="F160" s="16" t="str">
        <x:v>Gazipur Plant</x:v>
      </x:c>
      <x:c r="G160" s="16" t="str">
        <x:v>Contract</x:v>
      </x:c>
      <x:c r="H160" s="35" t="n">
        <x:v>43850</x:v>
      </x:c>
      <x:c r="I160" s="35"/>
      <x:c r="J160" s="16" t="str"/>
      <x:c r="K160" s="16" t="str">
        <x:f>IF(I160="","Active","Exited")</x:f>
        <x:v>Active</x:v>
      </x:c>
      <x:c r="L160" s="16" t="n">
        <x:f>(YEAR(IF(I160="",TODAY(),I160))-YEAR(H160))*12+MONTH(IF(I160="",TODAY(),I160))-MONTH(H160)</x:f>
        <x:v>78</x:v>
      </x:c>
      <x:c r="M160" s="36" t="n">
        <x:f>DATE(YEAR(H160),MONTH(H160),1)</x:f>
        <x:v>43831</x:v>
      </x:c>
      <x:c r="N160" s="36" t="str">
        <x:f>IF(I160="","",DATE(YEAR(I160),MONTH(I160),1))</x:f>
      </x:c>
    </x:row>
    <x:row r="161">
      <x:c r="A161" s="16" t="str">
        <x:v>HG-01160</x:v>
      </x:c>
      <x:c r="B161" s="16" t="str">
        <x:v>Imran Akter</x:v>
      </x:c>
      <x:c r="C161" s="16" t="str">
        <x:v>Male</x:v>
      </x:c>
      <x:c r="D161" s="16" t="str">
        <x:v>Production</x:v>
      </x:c>
      <x:c r="E161" s="16" t="str">
        <x:v>Production Officer</x:v>
      </x:c>
      <x:c r="F161" s="16" t="str">
        <x:v>Narayanganj Plant</x:v>
      </x:c>
      <x:c r="G161" s="16" t="str">
        <x:v>Permanent</x:v>
      </x:c>
      <x:c r="H161" s="35" t="n">
        <x:v>44101</x:v>
      </x:c>
      <x:c r="I161" s="35"/>
      <x:c r="J161" s="16" t="str"/>
      <x:c r="K161" s="16" t="str">
        <x:f>IF(I161="","Active","Exited")</x:f>
        <x:v>Active</x:v>
      </x:c>
      <x:c r="L161" s="16" t="n">
        <x:f>(YEAR(IF(I161="",TODAY(),I161))-YEAR(H161))*12+MONTH(IF(I161="",TODAY(),I161))-MONTH(H161)</x:f>
        <x:v>70</x:v>
      </x:c>
      <x:c r="M161" s="36" t="n">
        <x:f>DATE(YEAR(H161),MONTH(H161),1)</x:f>
        <x:v>44075</x:v>
      </x:c>
      <x:c r="N161" s="36" t="str">
        <x:f>IF(I161="","",DATE(YEAR(I161),MONTH(I161),1))</x:f>
      </x:c>
    </x:row>
    <x:row r="162">
      <x:c r="A162" s="16" t="str">
        <x:v>HG-01161</x:v>
      </x:c>
      <x:c r="B162" s="16" t="str">
        <x:v>Mehedi Miah</x:v>
      </x:c>
      <x:c r="C162" s="16" t="str">
        <x:v>Male</x:v>
      </x:c>
      <x:c r="D162" s="16" t="str">
        <x:v>Production</x:v>
      </x:c>
      <x:c r="E162" s="16" t="str">
        <x:v>Production Officer</x:v>
      </x:c>
      <x:c r="F162" s="16" t="str">
        <x:v>Narayanganj Plant</x:v>
      </x:c>
      <x:c r="G162" s="16" t="str">
        <x:v>Permanent</x:v>
      </x:c>
      <x:c r="H162" s="35" t="n">
        <x:v>43151</x:v>
      </x:c>
      <x:c r="I162" s="35"/>
      <x:c r="J162" s="16" t="str"/>
      <x:c r="K162" s="16" t="str">
        <x:f>IF(I162="","Active","Exited")</x:f>
        <x:v>Active</x:v>
      </x:c>
      <x:c r="L162" s="16" t="n">
        <x:f>(YEAR(IF(I162="",TODAY(),I162))-YEAR(H162))*12+MONTH(IF(I162="",TODAY(),I162))-MONTH(H162)</x:f>
        <x:v>101</x:v>
      </x:c>
      <x:c r="M162" s="36" t="n">
        <x:f>DATE(YEAR(H162),MONTH(H162),1)</x:f>
        <x:v>43132</x:v>
      </x:c>
      <x:c r="N162" s="36" t="str">
        <x:f>IF(I162="","",DATE(YEAR(I162),MONTH(I162),1))</x:f>
      </x:c>
    </x:row>
    <x:row r="163">
      <x:c r="A163" s="16" t="str">
        <x:v>HG-01162</x:v>
      </x:c>
      <x:c r="B163" s="16" t="str">
        <x:v>Rakib Akter</x:v>
      </x:c>
      <x:c r="C163" s="16" t="str">
        <x:v>Male</x:v>
      </x:c>
      <x:c r="D163" s="16" t="str">
        <x:v>Sales &amp; Marketing</x:v>
      </x:c>
      <x:c r="E163" s="16" t="str">
        <x:v>Key Account Executive</x:v>
      </x:c>
      <x:c r="F163" s="16" t="str">
        <x:v>Dhaka Head Office</x:v>
      </x:c>
      <x:c r="G163" s="16" t="str">
        <x:v>Permanent</x:v>
      </x:c>
      <x:c r="H163" s="35" t="n">
        <x:v>45491</x:v>
      </x:c>
      <x:c r="I163" s="35" t="n">
        <x:v>45808</x:v>
      </x:c>
      <x:c r="J163" s="16" t="str">
        <x:v>Better Opportunity</x:v>
      </x:c>
      <x:c r="K163" s="16" t="str">
        <x:f>IF(I163="","Active","Exited")</x:f>
        <x:v>Exited</x:v>
      </x:c>
      <x:c r="L163" s="16" t="n">
        <x:f>(YEAR(IF(I163="",TODAY(),I163))-YEAR(H163))*12+MONTH(IF(I163="",TODAY(),I163))-MONTH(H163)</x:f>
        <x:v>10</x:v>
      </x:c>
      <x:c r="M163" s="36" t="n">
        <x:f>DATE(YEAR(H163),MONTH(H163),1)</x:f>
        <x:v>45474</x:v>
      </x:c>
      <x:c r="N163" s="36" t="n">
        <x:f>IF(I163="","",DATE(YEAR(I163),MONTH(I163),1))</x:f>
        <x:v>45778</x:v>
      </x:c>
    </x:row>
    <x:row r="164">
      <x:c r="A164" s="16" t="str">
        <x:v>HG-01163</x:v>
      </x:c>
      <x:c r="B164" s="16" t="str">
        <x:v>Tanvir Alam</x:v>
      </x:c>
      <x:c r="C164" s="16" t="str">
        <x:v>Male</x:v>
      </x:c>
      <x:c r="D164" s="16" t="str">
        <x:v>Production</x:v>
      </x:c>
      <x:c r="E164" s="16" t="str">
        <x:v>Assistant Manager - Production</x:v>
      </x:c>
      <x:c r="F164" s="16" t="str">
        <x:v>Gazipur Plant</x:v>
      </x:c>
      <x:c r="G164" s="16" t="str">
        <x:v>Probation</x:v>
      </x:c>
      <x:c r="H164" s="35" t="n">
        <x:v>43000</x:v>
      </x:c>
      <x:c r="I164" s="35" t="n">
        <x:v>45845</x:v>
      </x:c>
      <x:c r="J164" s="16" t="str">
        <x:v>Performance</x:v>
      </x:c>
      <x:c r="K164" s="16" t="str">
        <x:f>IF(I164="","Active","Exited")</x:f>
        <x:v>Exited</x:v>
      </x:c>
      <x:c r="L164" s="16" t="n">
        <x:f>(YEAR(IF(I164="",TODAY(),I164))-YEAR(H164))*12+MONTH(IF(I164="",TODAY(),I164))-MONTH(H164)</x:f>
        <x:v>94</x:v>
      </x:c>
      <x:c r="M164" s="36" t="n">
        <x:f>DATE(YEAR(H164),MONTH(H164),1)</x:f>
        <x:v>42979</x:v>
      </x:c>
      <x:c r="N164" s="36" t="n">
        <x:f>IF(I164="","",DATE(YEAR(I164),MONTH(I164),1))</x:f>
        <x:v>45839</x:v>
      </x:c>
    </x:row>
    <x:row r="165">
      <x:c r="A165" s="16" t="str">
        <x:v>HG-01164</x:v>
      </x:c>
      <x:c r="B165" s="16" t="str">
        <x:v>Farhan Kabir</x:v>
      </x:c>
      <x:c r="C165" s="16" t="str">
        <x:v>Male</x:v>
      </x:c>
      <x:c r="D165" s="16" t="str">
        <x:v>Human Resources</x:v>
      </x:c>
      <x:c r="E165" s="16" t="str">
        <x:v>Senior HR Executive</x:v>
      </x:c>
      <x:c r="F165" s="16" t="str">
        <x:v>Dhaka Head Office</x:v>
      </x:c>
      <x:c r="G165" s="16" t="str">
        <x:v>Permanent</x:v>
      </x:c>
      <x:c r="H165" s="35" t="n">
        <x:v>43100</x:v>
      </x:c>
      <x:c r="I165" s="35"/>
      <x:c r="J165" s="16" t="str"/>
      <x:c r="K165" s="16" t="str">
        <x:f>IF(I165="","Active","Exited")</x:f>
        <x:v>Active</x:v>
      </x:c>
      <x:c r="L165" s="16" t="n">
        <x:f>(YEAR(IF(I165="",TODAY(),I165))-YEAR(H165))*12+MONTH(IF(I165="",TODAY(),I165))-MONTH(H165)</x:f>
        <x:v>103</x:v>
      </x:c>
      <x:c r="M165" s="36" t="n">
        <x:f>DATE(YEAR(H165),MONTH(H165),1)</x:f>
        <x:v>43070</x:v>
      </x:c>
      <x:c r="N165" s="36" t="str">
        <x:f>IF(I165="","",DATE(YEAR(I165),MONTH(I165),1))</x:f>
      </x:c>
    </x:row>
    <x:row r="166">
      <x:c r="A166" s="16" t="str">
        <x:v>HG-01165</x:v>
      </x:c>
      <x:c r="B166" s="16" t="str">
        <x:v>Nayeem Miah</x:v>
      </x:c>
      <x:c r="C166" s="16" t="str">
        <x:v>Male</x:v>
      </x:c>
      <x:c r="D166" s="16" t="str">
        <x:v>Administration</x:v>
      </x:c>
      <x:c r="E166" s="16" t="str">
        <x:v>Admin Assistant</x:v>
      </x:c>
      <x:c r="F166" s="16" t="str">
        <x:v>Gazipur Plant</x:v>
      </x:c>
      <x:c r="G166" s="16" t="str">
        <x:v>Permanent</x:v>
      </x:c>
      <x:c r="H166" s="35" t="n">
        <x:v>43710</x:v>
      </x:c>
      <x:c r="I166" s="35"/>
      <x:c r="J166" s="16" t="str"/>
      <x:c r="K166" s="16" t="str">
        <x:f>IF(I166="","Active","Exited")</x:f>
        <x:v>Active</x:v>
      </x:c>
      <x:c r="L166" s="16" t="n">
        <x:f>(YEAR(IF(I166="",TODAY(),I166))-YEAR(H166))*12+MONTH(IF(I166="",TODAY(),I166))-MONTH(H166)</x:f>
        <x:v>82</x:v>
      </x:c>
      <x:c r="M166" s="36" t="n">
        <x:f>DATE(YEAR(H166),MONTH(H166),1)</x:f>
        <x:v>43709</x:v>
      </x:c>
      <x:c r="N166" s="36" t="str">
        <x:f>IF(I166="","",DATE(YEAR(I166),MONTH(I166),1))</x:f>
      </x:c>
    </x:row>
    <x:row r="167">
      <x:c r="A167" s="16" t="str">
        <x:v>HG-01166</x:v>
      </x:c>
      <x:c r="B167" s="16" t="str">
        <x:v>Mehedi Rahman</x:v>
      </x:c>
      <x:c r="C167" s="16" t="str">
        <x:v>Male</x:v>
      </x:c>
      <x:c r="D167" s="16" t="str">
        <x:v>Administration</x:v>
      </x:c>
      <x:c r="E167" s="16" t="str">
        <x:v>Admin Executive</x:v>
      </x:c>
      <x:c r="F167" s="16" t="str">
        <x:v>Dhaka Head Office</x:v>
      </x:c>
      <x:c r="G167" s="16" t="str">
        <x:v>Permanent</x:v>
      </x:c>
      <x:c r="H167" s="35" t="n">
        <x:v>44605</x:v>
      </x:c>
      <x:c r="I167" s="35" t="n">
        <x:v>45914</x:v>
      </x:c>
      <x:c r="J167" s="16" t="str">
        <x:v>Work-Life Balance</x:v>
      </x:c>
      <x:c r="K167" s="16" t="str">
        <x:f>IF(I167="","Active","Exited")</x:f>
        <x:v>Exited</x:v>
      </x:c>
      <x:c r="L167" s="16" t="n">
        <x:f>(YEAR(IF(I167="",TODAY(),I167))-YEAR(H167))*12+MONTH(IF(I167="",TODAY(),I167))-MONTH(H167)</x:f>
        <x:v>43</x:v>
      </x:c>
      <x:c r="M167" s="36" t="n">
        <x:f>DATE(YEAR(H167),MONTH(H167),1)</x:f>
        <x:v>44593</x:v>
      </x:c>
      <x:c r="N167" s="36" t="n">
        <x:f>IF(I167="","",DATE(YEAR(I167),MONTH(I167),1))</x:f>
        <x:v>45901</x:v>
      </x:c>
    </x:row>
    <x:row r="168">
      <x:c r="A168" s="16" t="str">
        <x:v>HG-01167</x:v>
      </x:c>
      <x:c r="B168" s="16" t="str">
        <x:v>Nusrat Begum</x:v>
      </x:c>
      <x:c r="C168" s="16" t="str">
        <x:v>Female</x:v>
      </x:c>
      <x:c r="D168" s="16" t="str">
        <x:v>Finance &amp; Accounts</x:v>
      </x:c>
      <x:c r="E168" s="16" t="str">
        <x:v>Assistant Manager - Finance</x:v>
      </x:c>
      <x:c r="F168" s="16" t="str">
        <x:v>Dhaka Head Office</x:v>
      </x:c>
      <x:c r="G168" s="16" t="str">
        <x:v>Permanent</x:v>
      </x:c>
      <x:c r="H168" s="35" t="n">
        <x:v>43435</x:v>
      </x:c>
      <x:c r="I168" s="35" t="n">
        <x:v>46192</x:v>
      </x:c>
      <x:c r="J168" s="16" t="str">
        <x:v>Personal / Family</x:v>
      </x:c>
      <x:c r="K168" s="16" t="str">
        <x:f>IF(I168="","Active","Exited")</x:f>
        <x:v>Exited</x:v>
      </x:c>
      <x:c r="L168" s="16" t="n">
        <x:f>(YEAR(IF(I168="",TODAY(),I168))-YEAR(H168))*12+MONTH(IF(I168="",TODAY(),I168))-MONTH(H168)</x:f>
        <x:v>90</x:v>
      </x:c>
      <x:c r="M168" s="36" t="n">
        <x:f>DATE(YEAR(H168),MONTH(H168),1)</x:f>
        <x:v>43435</x:v>
      </x:c>
      <x:c r="N168" s="36" t="n">
        <x:f>IF(I168="","",DATE(YEAR(I168),MONTH(I168),1))</x:f>
        <x:v>46174</x:v>
      </x:c>
    </x:row>
    <x:row r="169">
      <x:c r="A169" s="16" t="str">
        <x:v>HG-01168</x:v>
      </x:c>
      <x:c r="B169" s="16" t="str">
        <x:v>Imran Karim</x:v>
      </x:c>
      <x:c r="C169" s="16" t="str">
        <x:v>Male</x:v>
      </x:c>
      <x:c r="D169" s="16" t="str">
        <x:v>Administration</x:v>
      </x:c>
      <x:c r="E169" s="16" t="str">
        <x:v>Facility Officer</x:v>
      </x:c>
      <x:c r="F169" s="16" t="str">
        <x:v>Dhaka Head Office</x:v>
      </x:c>
      <x:c r="G169" s="16" t="str">
        <x:v>Permanent</x:v>
      </x:c>
      <x:c r="H169" s="35" t="n">
        <x:v>43204</x:v>
      </x:c>
      <x:c r="I169" s="35" t="n">
        <x:v>46159</x:v>
      </x:c>
      <x:c r="J169" s="16" t="str">
        <x:v>Career Growth</x:v>
      </x:c>
      <x:c r="K169" s="16" t="str">
        <x:f>IF(I169="","Active","Exited")</x:f>
        <x:v>Exited</x:v>
      </x:c>
      <x:c r="L169" s="16" t="n">
        <x:f>(YEAR(IF(I169="",TODAY(),I169))-YEAR(H169))*12+MONTH(IF(I169="",TODAY(),I169))-MONTH(H169)</x:f>
        <x:v>97</x:v>
      </x:c>
      <x:c r="M169" s="36" t="n">
        <x:f>DATE(YEAR(H169),MONTH(H169),1)</x:f>
        <x:v>43191</x:v>
      </x:c>
      <x:c r="N169" s="36" t="n">
        <x:f>IF(I169="","",DATE(YEAR(I169),MONTH(I169),1))</x:f>
        <x:v>46143</x:v>
      </x:c>
    </x:row>
    <x:row r="170">
      <x:c r="A170" s="16" t="str">
        <x:v>HG-01169</x:v>
      </x:c>
      <x:c r="B170" s="16" t="str">
        <x:v>Arif Khan</x:v>
      </x:c>
      <x:c r="C170" s="16" t="str">
        <x:v>Male</x:v>
      </x:c>
      <x:c r="D170" s="16" t="str">
        <x:v>Supply Chain</x:v>
      </x:c>
      <x:c r="E170" s="16" t="str">
        <x:v>Procurement Executive</x:v>
      </x:c>
      <x:c r="F170" s="16" t="str">
        <x:v>Gazipur Plant</x:v>
      </x:c>
      <x:c r="G170" s="16" t="str">
        <x:v>Contract</x:v>
      </x:c>
      <x:c r="H170" s="35" t="n">
        <x:v>43561</x:v>
      </x:c>
      <x:c r="I170" s="35"/>
      <x:c r="J170" s="16" t="str"/>
      <x:c r="K170" s="16" t="str">
        <x:f>IF(I170="","Active","Exited")</x:f>
        <x:v>Active</x:v>
      </x:c>
      <x:c r="L170" s="16" t="n">
        <x:f>(YEAR(IF(I170="",TODAY(),I170))-YEAR(H170))*12+MONTH(IF(I170="",TODAY(),I170))-MONTH(H170)</x:f>
        <x:v>87</x:v>
      </x:c>
      <x:c r="M170" s="36" t="n">
        <x:f>DATE(YEAR(H170),MONTH(H170),1)</x:f>
        <x:v>43556</x:v>
      </x:c>
      <x:c r="N170" s="36" t="str">
        <x:f>IF(I170="","",DATE(YEAR(I170),MONTH(I170),1))</x:f>
      </x:c>
    </x:row>
    <x:row r="171">
      <x:c r="A171" s="16" t="str">
        <x:v>HG-01170</x:v>
      </x:c>
      <x:c r="B171" s="16" t="str">
        <x:v>Sajid Karim</x:v>
      </x:c>
      <x:c r="C171" s="16" t="str">
        <x:v>Male</x:v>
      </x:c>
      <x:c r="D171" s="16" t="str">
        <x:v>Production</x:v>
      </x:c>
      <x:c r="E171" s="16" t="str">
        <x:v>Production Operator</x:v>
      </x:c>
      <x:c r="F171" s="16" t="str">
        <x:v>Gazipur Plant</x:v>
      </x:c>
      <x:c r="G171" s="16" t="str">
        <x:v>Permanent</x:v>
      </x:c>
      <x:c r="H171" s="35" t="n">
        <x:v>44758</x:v>
      </x:c>
      <x:c r="I171" s="35" t="n">
        <x:v>45689</x:v>
      </x:c>
      <x:c r="J171" s="16" t="str">
        <x:v>Career Growth</x:v>
      </x:c>
      <x:c r="K171" s="16" t="str">
        <x:f>IF(I171="","Active","Exited")</x:f>
        <x:v>Exited</x:v>
      </x:c>
      <x:c r="L171" s="16" t="n">
        <x:f>(YEAR(IF(I171="",TODAY(),I171))-YEAR(H171))*12+MONTH(IF(I171="",TODAY(),I171))-MONTH(H171)</x:f>
        <x:v>31</x:v>
      </x:c>
      <x:c r="M171" s="36" t="n">
        <x:f>DATE(YEAR(H171),MONTH(H171),1)</x:f>
        <x:v>44743</x:v>
      </x:c>
      <x:c r="N171" s="36" t="n">
        <x:f>IF(I171="","",DATE(YEAR(I171),MONTH(I171),1))</x:f>
        <x:v>45689</x:v>
      </x:c>
    </x:row>
    <x:row r="172">
      <x:c r="A172" s="16" t="str">
        <x:v>HG-01171</x:v>
      </x:c>
      <x:c r="B172" s="16" t="str">
        <x:v>Imran Sarker</x:v>
      </x:c>
      <x:c r="C172" s="16" t="str">
        <x:v>Male</x:v>
      </x:c>
      <x:c r="D172" s="16" t="str">
        <x:v>Production</x:v>
      </x:c>
      <x:c r="E172" s="16" t="str">
        <x:v>Production Officer</x:v>
      </x:c>
      <x:c r="F172" s="16" t="str">
        <x:v>Chattogram Office</x:v>
      </x:c>
      <x:c r="G172" s="16" t="str">
        <x:v>Permanent</x:v>
      </x:c>
      <x:c r="H172" s="35" t="n">
        <x:v>45192</x:v>
      </x:c>
      <x:c r="I172" s="35" t="n">
        <x:v>45787</x:v>
      </x:c>
      <x:c r="J172" s="16" t="str">
        <x:v>Compensation &amp; Benefits</x:v>
      </x:c>
      <x:c r="K172" s="16" t="str">
        <x:f>IF(I172="","Active","Exited")</x:f>
        <x:v>Exited</x:v>
      </x:c>
      <x:c r="L172" s="16" t="n">
        <x:f>(YEAR(IF(I172="",TODAY(),I172))-YEAR(H172))*12+MONTH(IF(I172="",TODAY(),I172))-MONTH(H172)</x:f>
        <x:v>20</x:v>
      </x:c>
      <x:c r="M172" s="36" t="n">
        <x:f>DATE(YEAR(H172),MONTH(H172),1)</x:f>
        <x:v>45170</x:v>
      </x:c>
      <x:c r="N172" s="36" t="n">
        <x:f>IF(I172="","",DATE(YEAR(I172),MONTH(I172),1))</x:f>
        <x:v>45778</x:v>
      </x:c>
    </x:row>
    <x:row r="173">
      <x:c r="A173" s="16" t="str">
        <x:v>HG-01172</x:v>
      </x:c>
      <x:c r="B173" s="16" t="str">
        <x:v>Jubayer Khan</x:v>
      </x:c>
      <x:c r="C173" s="16" t="str">
        <x:v>Male</x:v>
      </x:c>
      <x:c r="D173" s="16" t="str">
        <x:v>Information Technology</x:v>
      </x:c>
      <x:c r="E173" s="16" t="str">
        <x:v>System Administrator</x:v>
      </x:c>
      <x:c r="F173" s="16" t="str">
        <x:v>Dhaka Head Office</x:v>
      </x:c>
      <x:c r="G173" s="16" t="str">
        <x:v>Permanent</x:v>
      </x:c>
      <x:c r="H173" s="35" t="n">
        <x:v>45004</x:v>
      </x:c>
      <x:c r="I173" s="35" t="n">
        <x:v>45980</x:v>
      </x:c>
      <x:c r="J173" s="16" t="str">
        <x:v>End of Contract</x:v>
      </x:c>
      <x:c r="K173" s="16" t="str">
        <x:f>IF(I173="","Active","Exited")</x:f>
        <x:v>Exited</x:v>
      </x:c>
      <x:c r="L173" s="16" t="n">
        <x:f>(YEAR(IF(I173="",TODAY(),I173))-YEAR(H173))*12+MONTH(IF(I173="",TODAY(),I173))-MONTH(H173)</x:f>
        <x:v>32</x:v>
      </x:c>
      <x:c r="M173" s="36" t="n">
        <x:f>DATE(YEAR(H173),MONTH(H173),1)</x:f>
        <x:v>44986</x:v>
      </x:c>
      <x:c r="N173" s="36" t="n">
        <x:f>IF(I173="","",DATE(YEAR(I173),MONTH(I173),1))</x:f>
        <x:v>45962</x:v>
      </x:c>
    </x:row>
    <x:row r="174">
      <x:c r="A174" s="16" t="str">
        <x:v>HG-01173</x:v>
      </x:c>
      <x:c r="B174" s="16" t="str">
        <x:v>Shakil Chowdhury</x:v>
      </x:c>
      <x:c r="C174" s="16" t="str">
        <x:v>Male</x:v>
      </x:c>
      <x:c r="D174" s="16" t="str">
        <x:v>Production</x:v>
      </x:c>
      <x:c r="E174" s="16" t="str">
        <x:v>Line Supervisor</x:v>
      </x:c>
      <x:c r="F174" s="16" t="str">
        <x:v>Gazipur Plant</x:v>
      </x:c>
      <x:c r="G174" s="16" t="str">
        <x:v>Permanent</x:v>
      </x:c>
      <x:c r="H174" s="35" t="n">
        <x:v>43821</x:v>
      </x:c>
      <x:c r="I174" s="35"/>
      <x:c r="J174" s="16" t="str"/>
      <x:c r="K174" s="16" t="str">
        <x:f>IF(I174="","Active","Exited")</x:f>
        <x:v>Active</x:v>
      </x:c>
      <x:c r="L174" s="16" t="n">
        <x:f>(YEAR(IF(I174="",TODAY(),I174))-YEAR(H174))*12+MONTH(IF(I174="",TODAY(),I174))-MONTH(H174)</x:f>
        <x:v>79</x:v>
      </x:c>
      <x:c r="M174" s="36" t="n">
        <x:f>DATE(YEAR(H174),MONTH(H174),1)</x:f>
        <x:v>43800</x:v>
      </x:c>
      <x:c r="N174" s="36" t="str">
        <x:f>IF(I174="","",DATE(YEAR(I174),MONTH(I174),1))</x:f>
      </x:c>
    </x:row>
    <x:row r="175">
      <x:c r="A175" s="16" t="str">
        <x:v>HG-01174</x:v>
      </x:c>
      <x:c r="B175" s="16" t="str">
        <x:v>Tasnim Khan</x:v>
      </x:c>
      <x:c r="C175" s="16" t="str">
        <x:v>Female</x:v>
      </x:c>
      <x:c r="D175" s="16" t="str">
        <x:v>Administration</x:v>
      </x:c>
      <x:c r="E175" s="16" t="str">
        <x:v>Assistant Manager - Admin</x:v>
      </x:c>
      <x:c r="F175" s="16" t="str">
        <x:v>Dhaka Head Office</x:v>
      </x:c>
      <x:c r="G175" s="16" t="str">
        <x:v>Permanent</x:v>
      </x:c>
      <x:c r="H175" s="35" t="n">
        <x:v>45261</x:v>
      </x:c>
      <x:c r="I175" s="35"/>
      <x:c r="J175" s="16" t="str"/>
      <x:c r="K175" s="16" t="str">
        <x:f>IF(I175="","Active","Exited")</x:f>
        <x:v>Active</x:v>
      </x:c>
      <x:c r="L175" s="16" t="n">
        <x:f>(YEAR(IF(I175="",TODAY(),I175))-YEAR(H175))*12+MONTH(IF(I175="",TODAY(),I175))-MONTH(H175)</x:f>
        <x:v>31</x:v>
      </x:c>
      <x:c r="M175" s="36" t="n">
        <x:f>DATE(YEAR(H175),MONTH(H175),1)</x:f>
        <x:v>45261</x:v>
      </x:c>
      <x:c r="N175" s="36" t="str">
        <x:f>IF(I175="","",DATE(YEAR(I175),MONTH(I175),1))</x:f>
      </x:c>
    </x:row>
    <x:row r="176">
      <x:c r="A176" s="16" t="str">
        <x:v>HG-01175</x:v>
      </x:c>
      <x:c r="B176" s="16" t="str">
        <x:v>Nusrat Uddin</x:v>
      </x:c>
      <x:c r="C176" s="16" t="str">
        <x:v>Female</x:v>
      </x:c>
      <x:c r="D176" s="16" t="str">
        <x:v>Production</x:v>
      </x:c>
      <x:c r="E176" s="16" t="str">
        <x:v>Line Supervisor</x:v>
      </x:c>
      <x:c r="F176" s="16" t="str">
        <x:v>Gazipur Plant</x:v>
      </x:c>
      <x:c r="G176" s="16" t="str">
        <x:v>Permanent</x:v>
      </x:c>
      <x:c r="H176" s="35" t="n">
        <x:v>44565</x:v>
      </x:c>
      <x:c r="I176" s="35"/>
      <x:c r="J176" s="16" t="str"/>
      <x:c r="K176" s="16" t="str">
        <x:f>IF(I176="","Active","Exited")</x:f>
        <x:v>Active</x:v>
      </x:c>
      <x:c r="L176" s="16" t="n">
        <x:f>(YEAR(IF(I176="",TODAY(),I176))-YEAR(H176))*12+MONTH(IF(I176="",TODAY(),I176))-MONTH(H176)</x:f>
        <x:v>54</x:v>
      </x:c>
      <x:c r="M176" s="36" t="n">
        <x:f>DATE(YEAR(H176),MONTH(H176),1)</x:f>
        <x:v>44562</x:v>
      </x:c>
      <x:c r="N176" s="36" t="str">
        <x:f>IF(I176="","",DATE(YEAR(I176),MONTH(I176),1))</x:f>
      </x:c>
    </x:row>
    <x:row r="177">
      <x:c r="A177" s="16" t="str">
        <x:v>HG-01176</x:v>
      </x:c>
      <x:c r="B177" s="16" t="str">
        <x:v>Rakib Khan</x:v>
      </x:c>
      <x:c r="C177" s="16" t="str">
        <x:v>Male</x:v>
      </x:c>
      <x:c r="D177" s="16" t="str">
        <x:v>Production</x:v>
      </x:c>
      <x:c r="E177" s="16" t="str">
        <x:v>Assistant Manager - Production</x:v>
      </x:c>
      <x:c r="F177" s="16" t="str">
        <x:v>Gazipur Plant</x:v>
      </x:c>
      <x:c r="G177" s="16" t="str">
        <x:v>Permanent</x:v>
      </x:c>
      <x:c r="H177" s="35" t="n">
        <x:v>45530</x:v>
      </x:c>
      <x:c r="I177" s="35"/>
      <x:c r="J177" s="16" t="str"/>
      <x:c r="K177" s="16" t="str">
        <x:f>IF(I177="","Active","Exited")</x:f>
        <x:v>Active</x:v>
      </x:c>
      <x:c r="L177" s="16" t="n">
        <x:f>(YEAR(IF(I177="",TODAY(),I177))-YEAR(H177))*12+MONTH(IF(I177="",TODAY(),I177))-MONTH(H177)</x:f>
        <x:v>23</x:v>
      </x:c>
      <x:c r="M177" s="36" t="n">
        <x:f>DATE(YEAR(H177),MONTH(H177),1)</x:f>
        <x:v>45505</x:v>
      </x:c>
      <x:c r="N177" s="36" t="str">
        <x:f>IF(I177="","",DATE(YEAR(I177),MONTH(I177),1))</x:f>
      </x:c>
    </x:row>
    <x:row r="178">
      <x:c r="A178" s="16" t="str">
        <x:v>HG-01177</x:v>
      </x:c>
      <x:c r="B178" s="16" t="str">
        <x:v>Ayesha Islam</x:v>
      </x:c>
      <x:c r="C178" s="16" t="str">
        <x:v>Female</x:v>
      </x:c>
      <x:c r="D178" s="16" t="str">
        <x:v>Administration</x:v>
      </x:c>
      <x:c r="E178" s="16" t="str">
        <x:v>Assistant Manager - Admin</x:v>
      </x:c>
      <x:c r="F178" s="16" t="str">
        <x:v>Dhaka Head Office</x:v>
      </x:c>
      <x:c r="G178" s="16" t="str">
        <x:v>Permanent</x:v>
      </x:c>
      <x:c r="H178" s="35" t="n">
        <x:v>43020</x:v>
      </x:c>
      <x:c r="I178" s="35"/>
      <x:c r="J178" s="16" t="str"/>
      <x:c r="K178" s="16" t="str">
        <x:f>IF(I178="","Active","Exited")</x:f>
        <x:v>Active</x:v>
      </x:c>
      <x:c r="L178" s="16" t="n">
        <x:f>(YEAR(IF(I178="",TODAY(),I178))-YEAR(H178))*12+MONTH(IF(I178="",TODAY(),I178))-MONTH(H178)</x:f>
        <x:v>105</x:v>
      </x:c>
      <x:c r="M178" s="36" t="n">
        <x:f>DATE(YEAR(H178),MONTH(H178),1)</x:f>
        <x:v>43009</x:v>
      </x:c>
      <x:c r="N178" s="36" t="str">
        <x:f>IF(I178="","",DATE(YEAR(I178),MONTH(I178),1))</x:f>
      </x:c>
    </x:row>
    <x:row r="179">
      <x:c r="A179" s="16" t="str">
        <x:v>HG-01178</x:v>
      </x:c>
      <x:c r="B179" s="16" t="str">
        <x:v>Farhan Sarker</x:v>
      </x:c>
      <x:c r="C179" s="16" t="str">
        <x:v>Male</x:v>
      </x:c>
      <x:c r="D179" s="16" t="str">
        <x:v>Information Technology</x:v>
      </x:c>
      <x:c r="E179" s="16" t="str">
        <x:v>System Administrator</x:v>
      </x:c>
      <x:c r="F179" s="16" t="str">
        <x:v>Dhaka Head Office</x:v>
      </x:c>
      <x:c r="G179" s="16" t="str">
        <x:v>Permanent</x:v>
      </x:c>
      <x:c r="H179" s="35" t="n">
        <x:v>45623</x:v>
      </x:c>
      <x:c r="I179" s="35" t="n">
        <x:v>45843</x:v>
      </x:c>
      <x:c r="J179" s="16" t="str">
        <x:v>Compensation &amp; Benefits</x:v>
      </x:c>
      <x:c r="K179" s="16" t="str">
        <x:f>IF(I179="","Active","Exited")</x:f>
        <x:v>Exited</x:v>
      </x:c>
      <x:c r="L179" s="16" t="n">
        <x:f>(YEAR(IF(I179="",TODAY(),I179))-YEAR(H179))*12+MONTH(IF(I179="",TODAY(),I179))-MONTH(H179)</x:f>
        <x:v>8</x:v>
      </x:c>
      <x:c r="M179" s="36" t="n">
        <x:f>DATE(YEAR(H179),MONTH(H179),1)</x:f>
        <x:v>45597</x:v>
      </x:c>
      <x:c r="N179" s="36" t="n">
        <x:f>IF(I179="","",DATE(YEAR(I179),MONTH(I179),1))</x:f>
        <x:v>45839</x:v>
      </x:c>
    </x:row>
    <x:row r="180">
      <x:c r="A180" s="16" t="str">
        <x:v>HG-01179</x:v>
      </x:c>
      <x:c r="B180" s="16" t="str">
        <x:v>Tanjila Hossain</x:v>
      </x:c>
      <x:c r="C180" s="16" t="str">
        <x:v>Female</x:v>
      </x:c>
      <x:c r="D180" s="16" t="str">
        <x:v>Sales &amp; Marketing</x:v>
      </x:c>
      <x:c r="E180" s="16" t="str">
        <x:v>Territory Officer</x:v>
      </x:c>
      <x:c r="F180" s="16" t="str">
        <x:v>Dhaka Head Office</x:v>
      </x:c>
      <x:c r="G180" s="16" t="str">
        <x:v>Permanent</x:v>
      </x:c>
      <x:c r="H180" s="35" t="n">
        <x:v>42993</x:v>
      </x:c>
      <x:c r="I180" s="35" t="n">
        <x:v>46040</x:v>
      </x:c>
      <x:c r="J180" s="16" t="str">
        <x:v>Supervisor / Management</x:v>
      </x:c>
      <x:c r="K180" s="16" t="str">
        <x:f>IF(I180="","Active","Exited")</x:f>
        <x:v>Exited</x:v>
      </x:c>
      <x:c r="L180" s="16" t="n">
        <x:f>(YEAR(IF(I180="",TODAY(),I180))-YEAR(H180))*12+MONTH(IF(I180="",TODAY(),I180))-MONTH(H180)</x:f>
        <x:v>100</x:v>
      </x:c>
      <x:c r="M180" s="36" t="n">
        <x:f>DATE(YEAR(H180),MONTH(H180),1)</x:f>
        <x:v>42979</x:v>
      </x:c>
      <x:c r="N180" s="36" t="n">
        <x:f>IF(I180="","",DATE(YEAR(I180),MONTH(I180),1))</x:f>
        <x:v>46023</x:v>
      </x:c>
    </x:row>
    <x:row r="181">
      <x:c r="A181" s="16" t="str">
        <x:v>HG-01180</x:v>
      </x:c>
      <x:c r="B181" s="16" t="str">
        <x:v>Foysal Hossain</x:v>
      </x:c>
      <x:c r="C181" s="16" t="str">
        <x:v>Male</x:v>
      </x:c>
      <x:c r="D181" s="16" t="str">
        <x:v>Production</x:v>
      </x:c>
      <x:c r="E181" s="16" t="str">
        <x:v>Assistant Manager - Production</x:v>
      </x:c>
      <x:c r="F181" s="16" t="str">
        <x:v>Dhaka Head Office</x:v>
      </x:c>
      <x:c r="G181" s="16" t="str">
        <x:v>Probation</x:v>
      </x:c>
      <x:c r="H181" s="35" t="n">
        <x:v>43214</x:v>
      </x:c>
      <x:c r="I181" s="35"/>
      <x:c r="J181" s="16" t="str"/>
      <x:c r="K181" s="16" t="str">
        <x:f>IF(I181="","Active","Exited")</x:f>
        <x:v>Active</x:v>
      </x:c>
      <x:c r="L181" s="16" t="n">
        <x:f>(YEAR(IF(I181="",TODAY(),I181))-YEAR(H181))*12+MONTH(IF(I181="",TODAY(),I181))-MONTH(H181)</x:f>
        <x:v>99</x:v>
      </x:c>
      <x:c r="M181" s="36" t="n">
        <x:f>DATE(YEAR(H181),MONTH(H181),1)</x:f>
        <x:v>43191</x:v>
      </x:c>
      <x:c r="N181" s="36" t="str">
        <x:f>IF(I181="","",DATE(YEAR(I181),MONTH(I181),1))</x:f>
      </x:c>
    </x:row>
    <x:row r="182">
      <x:c r="A182" s="16" t="str">
        <x:v>HG-01181</x:v>
      </x:c>
      <x:c r="B182" s="16" t="str">
        <x:v>Jubayer Begum</x:v>
      </x:c>
      <x:c r="C182" s="16" t="str">
        <x:v>Male</x:v>
      </x:c>
      <x:c r="D182" s="16" t="str">
        <x:v>Production</x:v>
      </x:c>
      <x:c r="E182" s="16" t="str">
        <x:v>Line Supervisor</x:v>
      </x:c>
      <x:c r="F182" s="16" t="str">
        <x:v>Gazipur Plant</x:v>
      </x:c>
      <x:c r="G182" s="16" t="str">
        <x:v>Permanent</x:v>
      </x:c>
      <x:c r="H182" s="35" t="n">
        <x:v>43933</x:v>
      </x:c>
      <x:c r="I182" s="35" t="n">
        <x:v>45907</x:v>
      </x:c>
      <x:c r="J182" s="16" t="str">
        <x:v>Performance</x:v>
      </x:c>
      <x:c r="K182" s="16" t="str">
        <x:f>IF(I182="","Active","Exited")</x:f>
        <x:v>Exited</x:v>
      </x:c>
      <x:c r="L182" s="16" t="n">
        <x:f>(YEAR(IF(I182="",TODAY(),I182))-YEAR(H182))*12+MONTH(IF(I182="",TODAY(),I182))-MONTH(H182)</x:f>
        <x:v>65</x:v>
      </x:c>
      <x:c r="M182" s="36" t="n">
        <x:f>DATE(YEAR(H182),MONTH(H182),1)</x:f>
        <x:v>43922</x:v>
      </x:c>
      <x:c r="N182" s="36" t="n">
        <x:f>IF(I182="","",DATE(YEAR(I182),MONTH(I182),1))</x:f>
        <x:v>45901</x:v>
      </x:c>
    </x:row>
    <x:row r="183">
      <x:c r="A183" s="16" t="str">
        <x:v>HG-01182</x:v>
      </x:c>
      <x:c r="B183" s="16" t="str">
        <x:v>Tanvir Ahmed</x:v>
      </x:c>
      <x:c r="C183" s="16" t="str">
        <x:v>Male</x:v>
      </x:c>
      <x:c r="D183" s="16" t="str">
        <x:v>Information Technology</x:v>
      </x:c>
      <x:c r="E183" s="16" t="str">
        <x:v>Software Executive</x:v>
      </x:c>
      <x:c r="F183" s="16" t="str">
        <x:v>Dhaka Head Office</x:v>
      </x:c>
      <x:c r="G183" s="16" t="str">
        <x:v>Permanent</x:v>
      </x:c>
      <x:c r="H183" s="35" t="n">
        <x:v>44878</x:v>
      </x:c>
      <x:c r="I183" s="35"/>
      <x:c r="J183" s="16" t="str"/>
      <x:c r="K183" s="16" t="str">
        <x:f>IF(I183="","Active","Exited")</x:f>
        <x:v>Active</x:v>
      </x:c>
      <x:c r="L183" s="16" t="n">
        <x:f>(YEAR(IF(I183="",TODAY(),I183))-YEAR(H183))*12+MONTH(IF(I183="",TODAY(),I183))-MONTH(H183)</x:f>
        <x:v>44</x:v>
      </x:c>
      <x:c r="M183" s="36" t="n">
        <x:f>DATE(YEAR(H183),MONTH(H183),1)</x:f>
        <x:v>44866</x:v>
      </x:c>
      <x:c r="N183" s="36" t="str">
        <x:f>IF(I183="","",DATE(YEAR(I183),MONTH(I183),1))</x:f>
      </x:c>
    </x:row>
    <x:row r="184">
      <x:c r="A184" s="16" t="str">
        <x:v>HG-01183</x:v>
      </x:c>
      <x:c r="B184" s="16" t="str">
        <x:v>Arif Rahman</x:v>
      </x:c>
      <x:c r="C184" s="16" t="str">
        <x:v>Male</x:v>
      </x:c>
      <x:c r="D184" s="16" t="str">
        <x:v>Human Resources</x:v>
      </x:c>
      <x:c r="E184" s="16" t="str">
        <x:v>HR Assistant</x:v>
      </x:c>
      <x:c r="F184" s="16" t="str">
        <x:v>Dhaka Head Office</x:v>
      </x:c>
      <x:c r="G184" s="16" t="str">
        <x:v>Permanent</x:v>
      </x:c>
      <x:c r="H184" s="35" t="n">
        <x:v>43867</x:v>
      </x:c>
      <x:c r="I184" s="35"/>
      <x:c r="J184" s="16" t="str"/>
      <x:c r="K184" s="16" t="str">
        <x:f>IF(I184="","Active","Exited")</x:f>
        <x:v>Active</x:v>
      </x:c>
      <x:c r="L184" s="16" t="n">
        <x:f>(YEAR(IF(I184="",TODAY(),I184))-YEAR(H184))*12+MONTH(IF(I184="",TODAY(),I184))-MONTH(H184)</x:f>
        <x:v>77</x:v>
      </x:c>
      <x:c r="M184" s="36" t="n">
        <x:f>DATE(YEAR(H184),MONTH(H184),1)</x:f>
        <x:v>43862</x:v>
      </x:c>
      <x:c r="N184" s="36" t="str">
        <x:f>IF(I184="","",DATE(YEAR(I184),MONTH(I184),1))</x:f>
      </x:c>
    </x:row>
    <x:row r="185">
      <x:c r="A185" s="16" t="str">
        <x:v>HG-01184</x:v>
      </x:c>
      <x:c r="B185" s="16" t="str">
        <x:v>Nusrat Khan</x:v>
      </x:c>
      <x:c r="C185" s="16" t="str">
        <x:v>Female</x:v>
      </x:c>
      <x:c r="D185" s="16" t="str">
        <x:v>Information Technology</x:v>
      </x:c>
      <x:c r="E185" s="16" t="str">
        <x:v>System Administrator</x:v>
      </x:c>
      <x:c r="F185" s="16" t="str">
        <x:v>Dhaka Head Office</x:v>
      </x:c>
      <x:c r="G185" s="16" t="str">
        <x:v>Contract</x:v>
      </x:c>
      <x:c r="H185" s="35" t="n">
        <x:v>45619</x:v>
      </x:c>
      <x:c r="I185" s="35"/>
      <x:c r="J185" s="16" t="str"/>
      <x:c r="K185" s="16" t="str">
        <x:f>IF(I185="","Active","Exited")</x:f>
        <x:v>Active</x:v>
      </x:c>
      <x:c r="L185" s="16" t="n">
        <x:f>(YEAR(IF(I185="",TODAY(),I185))-YEAR(H185))*12+MONTH(IF(I185="",TODAY(),I185))-MONTH(H185)</x:f>
        <x:v>20</x:v>
      </x:c>
      <x:c r="M185" s="36" t="n">
        <x:f>DATE(YEAR(H185),MONTH(H185),1)</x:f>
        <x:v>45597</x:v>
      </x:c>
      <x:c r="N185" s="36" t="str">
        <x:f>IF(I185="","",DATE(YEAR(I185),MONTH(I185),1))</x:f>
      </x:c>
    </x:row>
    <x:row r="186">
      <x:c r="A186" s="16" t="str">
        <x:v>HG-01185</x:v>
      </x:c>
      <x:c r="B186" s="16" t="str">
        <x:v>Fahim Khan</x:v>
      </x:c>
      <x:c r="C186" s="16" t="str">
        <x:v>Male</x:v>
      </x:c>
      <x:c r="D186" s="16" t="str">
        <x:v>Quality Assurance</x:v>
      </x:c>
      <x:c r="E186" s="16" t="str">
        <x:v>Assistant Manager - QA</x:v>
      </x:c>
      <x:c r="F186" s="16" t="str">
        <x:v>Dhaka Head Office</x:v>
      </x:c>
      <x:c r="G186" s="16" t="str">
        <x:v>Permanent</x:v>
      </x:c>
      <x:c r="H186" s="35" t="n">
        <x:v>43308</x:v>
      </x:c>
      <x:c r="I186" s="35"/>
      <x:c r="J186" s="16" t="str"/>
      <x:c r="K186" s="16" t="str">
        <x:f>IF(I186="","Active","Exited")</x:f>
        <x:v>Active</x:v>
      </x:c>
      <x:c r="L186" s="16" t="n">
        <x:f>(YEAR(IF(I186="",TODAY(),I186))-YEAR(H186))*12+MONTH(IF(I186="",TODAY(),I186))-MONTH(H186)</x:f>
        <x:v>96</x:v>
      </x:c>
      <x:c r="M186" s="36" t="n">
        <x:f>DATE(YEAR(H186),MONTH(H186),1)</x:f>
        <x:v>43282</x:v>
      </x:c>
      <x:c r="N186" s="36" t="str">
        <x:f>IF(I186="","",DATE(YEAR(I186),MONTH(I186),1))</x:f>
      </x:c>
    </x:row>
    <x:row r="187">
      <x:c r="A187" s="16" t="str">
        <x:v>HG-01186</x:v>
      </x:c>
      <x:c r="B187" s="16" t="str">
        <x:v>Tanvir Karim</x:v>
      </x:c>
      <x:c r="C187" s="16" t="str">
        <x:v>Male</x:v>
      </x:c>
      <x:c r="D187" s="16" t="str">
        <x:v>Production</x:v>
      </x:c>
      <x:c r="E187" s="16" t="str">
        <x:v>Production Operator</x:v>
      </x:c>
      <x:c r="F187" s="16" t="str">
        <x:v>Gazipur Plant</x:v>
      </x:c>
      <x:c r="G187" s="16" t="str">
        <x:v>Permanent</x:v>
      </x:c>
      <x:c r="H187" s="35" t="n">
        <x:v>43010</x:v>
      </x:c>
      <x:c r="I187" s="35" t="n">
        <x:v>45689</x:v>
      </x:c>
      <x:c r="J187" s="16" t="str">
        <x:v>End of Contract</x:v>
      </x:c>
      <x:c r="K187" s="16" t="str">
        <x:f>IF(I187="","Active","Exited")</x:f>
        <x:v>Exited</x:v>
      </x:c>
      <x:c r="L187" s="16" t="n">
        <x:f>(YEAR(IF(I187="",TODAY(),I187))-YEAR(H187))*12+MONTH(IF(I187="",TODAY(),I187))-MONTH(H187)</x:f>
        <x:v>88</x:v>
      </x:c>
      <x:c r="M187" s="36" t="n">
        <x:f>DATE(YEAR(H187),MONTH(H187),1)</x:f>
        <x:v>43009</x:v>
      </x:c>
      <x:c r="N187" s="36" t="n">
        <x:f>IF(I187="","",DATE(YEAR(I187),MONTH(I187),1))</x:f>
        <x:v>45689</x:v>
      </x:c>
    </x:row>
    <x:row r="188">
      <x:c r="A188" s="16" t="str">
        <x:v>HG-01187</x:v>
      </x:c>
      <x:c r="B188" s="16" t="str">
        <x:v>Rashed Uddin</x:v>
      </x:c>
      <x:c r="C188" s="16" t="str">
        <x:v>Male</x:v>
      </x:c>
      <x:c r="D188" s="16" t="str">
        <x:v>Production</x:v>
      </x:c>
      <x:c r="E188" s="16" t="str">
        <x:v>Production Officer</x:v>
      </x:c>
      <x:c r="F188" s="16" t="str">
        <x:v>Narayanganj Plant</x:v>
      </x:c>
      <x:c r="G188" s="16" t="str">
        <x:v>Permanent</x:v>
      </x:c>
      <x:c r="H188" s="35" t="n">
        <x:v>43736</x:v>
      </x:c>
      <x:c r="I188" s="35"/>
      <x:c r="J188" s="16" t="str"/>
      <x:c r="K188" s="16" t="str">
        <x:f>IF(I188="","Active","Exited")</x:f>
        <x:v>Active</x:v>
      </x:c>
      <x:c r="L188" s="16" t="n">
        <x:f>(YEAR(IF(I188="",TODAY(),I188))-YEAR(H188))*12+MONTH(IF(I188="",TODAY(),I188))-MONTH(H188)</x:f>
        <x:v>82</x:v>
      </x:c>
      <x:c r="M188" s="36" t="n">
        <x:f>DATE(YEAR(H188),MONTH(H188),1)</x:f>
        <x:v>43709</x:v>
      </x:c>
      <x:c r="N188" s="36" t="str">
        <x:f>IF(I188="","",DATE(YEAR(I188),MONTH(I188),1))</x:f>
      </x:c>
    </x:row>
    <x:row r="189">
      <x:c r="A189" s="16" t="str">
        <x:v>HG-01188</x:v>
      </x:c>
      <x:c r="B189" s="16" t="str">
        <x:v>Mahmud Begum</x:v>
      </x:c>
      <x:c r="C189" s="16" t="str">
        <x:v>Male</x:v>
      </x:c>
      <x:c r="D189" s="16" t="str">
        <x:v>Information Technology</x:v>
      </x:c>
      <x:c r="E189" s="16" t="str">
        <x:v>IT Support Executive</x:v>
      </x:c>
      <x:c r="F189" s="16" t="str">
        <x:v>Dhaka Head Office</x:v>
      </x:c>
      <x:c r="G189" s="16" t="str">
        <x:v>Permanent</x:v>
      </x:c>
      <x:c r="H189" s="35" t="n">
        <x:v>43677</x:v>
      </x:c>
      <x:c r="I189" s="35" t="n">
        <x:v>45753</x:v>
      </x:c>
      <x:c r="J189" s="16" t="str">
        <x:v>Supervisor / Management</x:v>
      </x:c>
      <x:c r="K189" s="16" t="str">
        <x:f>IF(I189="","Active","Exited")</x:f>
        <x:v>Exited</x:v>
      </x:c>
      <x:c r="L189" s="16" t="n">
        <x:f>(YEAR(IF(I189="",TODAY(),I189))-YEAR(H189))*12+MONTH(IF(I189="",TODAY(),I189))-MONTH(H189)</x:f>
        <x:v>69</x:v>
      </x:c>
      <x:c r="M189" s="36" t="n">
        <x:f>DATE(YEAR(H189),MONTH(H189),1)</x:f>
        <x:v>43647</x:v>
      </x:c>
      <x:c r="N189" s="36" t="n">
        <x:f>IF(I189="","",DATE(YEAR(I189),MONTH(I189),1))</x:f>
        <x:v>45748</x:v>
      </x:c>
    </x:row>
    <x:row r="190">
      <x:c r="A190" s="16" t="str">
        <x:v>HG-01189</x:v>
      </x:c>
      <x:c r="B190" s="16" t="str">
        <x:v>Raisa Alam</x:v>
      </x:c>
      <x:c r="C190" s="16" t="str">
        <x:v>Female</x:v>
      </x:c>
      <x:c r="D190" s="16" t="str">
        <x:v>Quality Assurance</x:v>
      </x:c>
      <x:c r="E190" s="16" t="str">
        <x:v>Senior QA Executive</x:v>
      </x:c>
      <x:c r="F190" s="16" t="str">
        <x:v>Gazipur Plant</x:v>
      </x:c>
      <x:c r="G190" s="16" t="str">
        <x:v>Permanent</x:v>
      </x:c>
      <x:c r="H190" s="35" t="n">
        <x:v>43226</x:v>
      </x:c>
      <x:c r="I190" s="35"/>
      <x:c r="J190" s="16" t="str"/>
      <x:c r="K190" s="16" t="str">
        <x:f>IF(I190="","Active","Exited")</x:f>
        <x:v>Active</x:v>
      </x:c>
      <x:c r="L190" s="16" t="n">
        <x:f>(YEAR(IF(I190="",TODAY(),I190))-YEAR(H190))*12+MONTH(IF(I190="",TODAY(),I190))-MONTH(H190)</x:f>
        <x:v>98</x:v>
      </x:c>
      <x:c r="M190" s="36" t="n">
        <x:f>DATE(YEAR(H190),MONTH(H190),1)</x:f>
        <x:v>43221</x:v>
      </x:c>
      <x:c r="N190" s="36" t="str">
        <x:f>IF(I190="","",DATE(YEAR(I190),MONTH(I190),1))</x:f>
      </x:c>
    </x:row>
    <x:row r="191">
      <x:c r="A191" s="16" t="str">
        <x:v>HG-01190</x:v>
      </x:c>
      <x:c r="B191" s="16" t="str">
        <x:v>Mahmud Akter</x:v>
      </x:c>
      <x:c r="C191" s="16" t="str">
        <x:v>Male</x:v>
      </x:c>
      <x:c r="D191" s="16" t="str">
        <x:v>Supply Chain</x:v>
      </x:c>
      <x:c r="E191" s="16" t="str">
        <x:v>Inventory Officer</x:v>
      </x:c>
      <x:c r="F191" s="16" t="str">
        <x:v>Gazipur Plant</x:v>
      </x:c>
      <x:c r="G191" s="16" t="str">
        <x:v>Permanent</x:v>
      </x:c>
      <x:c r="H191" s="35" t="n">
        <x:v>44839</x:v>
      </x:c>
      <x:c r="I191" s="35"/>
      <x:c r="J191" s="16" t="str"/>
      <x:c r="K191" s="16" t="str">
        <x:f>IF(I191="","Active","Exited")</x:f>
        <x:v>Active</x:v>
      </x:c>
      <x:c r="L191" s="16" t="n">
        <x:f>(YEAR(IF(I191="",TODAY(),I191))-YEAR(H191))*12+MONTH(IF(I191="",TODAY(),I191))-MONTH(H191)</x:f>
        <x:v>45</x:v>
      </x:c>
      <x:c r="M191" s="36" t="n">
        <x:f>DATE(YEAR(H191),MONTH(H191),1)</x:f>
        <x:v>44835</x:v>
      </x:c>
      <x:c r="N191" s="36" t="str">
        <x:f>IF(I191="","",DATE(YEAR(I191),MONTH(I191),1))</x:f>
      </x:c>
    </x:row>
    <x:row r="192">
      <x:c r="A192" s="16" t="str">
        <x:v>HG-01191</x:v>
      </x:c>
      <x:c r="B192" s="16" t="str">
        <x:v>Nusrat Alam</x:v>
      </x:c>
      <x:c r="C192" s="16" t="str">
        <x:v>Female</x:v>
      </x:c>
      <x:c r="D192" s="16" t="str">
        <x:v>Finance &amp; Accounts</x:v>
      </x:c>
      <x:c r="E192" s="16" t="str">
        <x:v>Finance Officer</x:v>
      </x:c>
      <x:c r="F192" s="16" t="str">
        <x:v>Dhaka Head Office</x:v>
      </x:c>
      <x:c r="G192" s="16" t="str">
        <x:v>Permanent</x:v>
      </x:c>
      <x:c r="H192" s="35" t="n">
        <x:v>43563</x:v>
      </x:c>
      <x:c r="I192" s="35"/>
      <x:c r="J192" s="16" t="str"/>
      <x:c r="K192" s="16" t="str">
        <x:f>IF(I192="","Active","Exited")</x:f>
        <x:v>Active</x:v>
      </x:c>
      <x:c r="L192" s="16" t="n">
        <x:f>(YEAR(IF(I192="",TODAY(),I192))-YEAR(H192))*12+MONTH(IF(I192="",TODAY(),I192))-MONTH(H192)</x:f>
        <x:v>87</x:v>
      </x:c>
      <x:c r="M192" s="36" t="n">
        <x:f>DATE(YEAR(H192),MONTH(H192),1)</x:f>
        <x:v>43556</x:v>
      </x:c>
      <x:c r="N192" s="36" t="str">
        <x:f>IF(I192="","",DATE(YEAR(I192),MONTH(I192),1))</x:f>
      </x:c>
    </x:row>
    <x:row r="193">
      <x:c r="A193" s="16" t="str">
        <x:v>HG-01192</x:v>
      </x:c>
      <x:c r="B193" s="16" t="str">
        <x:v>Farzana Sarker</x:v>
      </x:c>
      <x:c r="C193" s="16" t="str">
        <x:v>Female</x:v>
      </x:c>
      <x:c r="D193" s="16" t="str">
        <x:v>Supply Chain</x:v>
      </x:c>
      <x:c r="E193" s="16" t="str">
        <x:v>Logistics Executive</x:v>
      </x:c>
      <x:c r="F193" s="16" t="str">
        <x:v>Narayanganj Plant</x:v>
      </x:c>
      <x:c r="G193" s="16" t="str">
        <x:v>Permanent</x:v>
      </x:c>
      <x:c r="H193" s="35" t="n">
        <x:v>43901</x:v>
      </x:c>
      <x:c r="I193" s="35" t="n">
        <x:v>45989</x:v>
      </x:c>
      <x:c r="J193" s="16" t="str">
        <x:v>Personal / Family</x:v>
      </x:c>
      <x:c r="K193" s="16" t="str">
        <x:f>IF(I193="","Active","Exited")</x:f>
        <x:v>Exited</x:v>
      </x:c>
      <x:c r="L193" s="16" t="n">
        <x:f>(YEAR(IF(I193="",TODAY(),I193))-YEAR(H193))*12+MONTH(IF(I193="",TODAY(),I193))-MONTH(H193)</x:f>
        <x:v>68</x:v>
      </x:c>
      <x:c r="M193" s="36" t="n">
        <x:f>DATE(YEAR(H193),MONTH(H193),1)</x:f>
        <x:v>43891</x:v>
      </x:c>
      <x:c r="N193" s="36" t="n">
        <x:f>IF(I193="","",DATE(YEAR(I193),MONTH(I193),1))</x:f>
        <x:v>45962</x:v>
      </x:c>
    </x:row>
    <x:row r="194">
      <x:c r="A194" s="16" t="str">
        <x:v>HG-01193</x:v>
      </x:c>
      <x:c r="B194" s="16" t="str">
        <x:v>Nazmul Chowdhury</x:v>
      </x:c>
      <x:c r="C194" s="16" t="str">
        <x:v>Male</x:v>
      </x:c>
      <x:c r="D194" s="16" t="str">
        <x:v>Administration</x:v>
      </x:c>
      <x:c r="E194" s="16" t="str">
        <x:v>Admin Assistant</x:v>
      </x:c>
      <x:c r="F194" s="16" t="str">
        <x:v>Narayanganj Plant</x:v>
      </x:c>
      <x:c r="G194" s="16" t="str">
        <x:v>Permanent</x:v>
      </x:c>
      <x:c r="H194" s="35" t="n">
        <x:v>44967</x:v>
      </x:c>
      <x:c r="I194" s="35"/>
      <x:c r="J194" s="16" t="str"/>
      <x:c r="K194" s="16" t="str">
        <x:f>IF(I194="","Active","Exited")</x:f>
        <x:v>Active</x:v>
      </x:c>
      <x:c r="L194" s="16" t="n">
        <x:f>(YEAR(IF(I194="",TODAY(),I194))-YEAR(H194))*12+MONTH(IF(I194="",TODAY(),I194))-MONTH(H194)</x:f>
        <x:v>41</x:v>
      </x:c>
      <x:c r="M194" s="36" t="n">
        <x:f>DATE(YEAR(H194),MONTH(H194),1)</x:f>
        <x:v>44958</x:v>
      </x:c>
      <x:c r="N194" s="36" t="str">
        <x:f>IF(I194="","",DATE(YEAR(I194),MONTH(I194),1))</x:f>
      </x:c>
    </x:row>
    <x:row r="195">
      <x:c r="A195" s="16" t="str">
        <x:v>HG-01194</x:v>
      </x:c>
      <x:c r="B195" s="16" t="str">
        <x:v>Fahim Hasan</x:v>
      </x:c>
      <x:c r="C195" s="16" t="str">
        <x:v>Male</x:v>
      </x:c>
      <x:c r="D195" s="16" t="str">
        <x:v>Finance &amp; Accounts</x:v>
      </x:c>
      <x:c r="E195" s="16" t="str">
        <x:v>Payroll Executive</x:v>
      </x:c>
      <x:c r="F195" s="16" t="str">
        <x:v>Dhaka Head Office</x:v>
      </x:c>
      <x:c r="G195" s="16" t="str">
        <x:v>Contract</x:v>
      </x:c>
      <x:c r="H195" s="35" t="n">
        <x:v>43957</x:v>
      </x:c>
      <x:c r="I195" s="35"/>
      <x:c r="J195" s="16" t="str"/>
      <x:c r="K195" s="16" t="str">
        <x:f>IF(I195="","Active","Exited")</x:f>
        <x:v>Active</x:v>
      </x:c>
      <x:c r="L195" s="16" t="n">
        <x:f>(YEAR(IF(I195="",TODAY(),I195))-YEAR(H195))*12+MONTH(IF(I195="",TODAY(),I195))-MONTH(H195)</x:f>
        <x:v>74</x:v>
      </x:c>
      <x:c r="M195" s="36" t="n">
        <x:f>DATE(YEAR(H195),MONTH(H195),1)</x:f>
        <x:v>43952</x:v>
      </x:c>
      <x:c r="N195" s="36" t="str">
        <x:f>IF(I195="","",DATE(YEAR(I195),MONTH(I195),1))</x:f>
      </x:c>
    </x:row>
    <x:row r="196">
      <x:c r="A196" s="16" t="str">
        <x:v>HG-01195</x:v>
      </x:c>
      <x:c r="B196" s="16" t="str">
        <x:v>Rashed Begum</x:v>
      </x:c>
      <x:c r="C196" s="16" t="str">
        <x:v>Male</x:v>
      </x:c>
      <x:c r="D196" s="16" t="str">
        <x:v>Human Resources</x:v>
      </x:c>
      <x:c r="E196" s="16" t="str">
        <x:v>HR Assistant</x:v>
      </x:c>
      <x:c r="F196" s="16" t="str">
        <x:v>Dhaka Head Office</x:v>
      </x:c>
      <x:c r="G196" s="16" t="str">
        <x:v>Permanent</x:v>
      </x:c>
      <x:c r="H196" s="35" t="n">
        <x:v>43442</x:v>
      </x:c>
      <x:c r="I196" s="35" t="n">
        <x:v>45879</x:v>
      </x:c>
      <x:c r="J196" s="16" t="str">
        <x:v>Career Growth</x:v>
      </x:c>
      <x:c r="K196" s="16" t="str">
        <x:f>IF(I196="","Active","Exited")</x:f>
        <x:v>Exited</x:v>
      </x:c>
      <x:c r="L196" s="16" t="n">
        <x:f>(YEAR(IF(I196="",TODAY(),I196))-YEAR(H196))*12+MONTH(IF(I196="",TODAY(),I196))-MONTH(H196)</x:f>
        <x:v>80</x:v>
      </x:c>
      <x:c r="M196" s="36" t="n">
        <x:f>DATE(YEAR(H196),MONTH(H196),1)</x:f>
        <x:v>43435</x:v>
      </x:c>
      <x:c r="N196" s="36" t="n">
        <x:f>IF(I196="","",DATE(YEAR(I196),MONTH(I196),1))</x:f>
        <x:v>45870</x:v>
      </x:c>
    </x:row>
    <x:row r="197">
      <x:c r="A197" s="16" t="str">
        <x:v>HG-01196</x:v>
      </x:c>
      <x:c r="B197" s="16" t="str">
        <x:v>Asif Hossain</x:v>
      </x:c>
      <x:c r="C197" s="16" t="str">
        <x:v>Male</x:v>
      </x:c>
      <x:c r="D197" s="16" t="str">
        <x:v>Production</x:v>
      </x:c>
      <x:c r="E197" s="16" t="str">
        <x:v>Production Operator</x:v>
      </x:c>
      <x:c r="F197" s="16" t="str">
        <x:v>Narayanganj Plant</x:v>
      </x:c>
      <x:c r="G197" s="16" t="str">
        <x:v>Contract</x:v>
      </x:c>
      <x:c r="H197" s="35" t="n">
        <x:v>43480</x:v>
      </x:c>
      <x:c r="I197" s="35"/>
      <x:c r="J197" s="16" t="str"/>
      <x:c r="K197" s="16" t="str">
        <x:f>IF(I197="","Active","Exited")</x:f>
        <x:v>Active</x:v>
      </x:c>
      <x:c r="L197" s="16" t="n">
        <x:f>(YEAR(IF(I197="",TODAY(),I197))-YEAR(H197))*12+MONTH(IF(I197="",TODAY(),I197))-MONTH(H197)</x:f>
        <x:v>90</x:v>
      </x:c>
      <x:c r="M197" s="36" t="n">
        <x:f>DATE(YEAR(H197),MONTH(H197),1)</x:f>
        <x:v>43466</x:v>
      </x:c>
      <x:c r="N197" s="36" t="str">
        <x:f>IF(I197="","",DATE(YEAR(I197),MONTH(I197),1))</x:f>
      </x:c>
    </x:row>
    <x:row r="198">
      <x:c r="A198" s="16" t="str">
        <x:v>HG-01197</x:v>
      </x:c>
      <x:c r="B198" s="16" t="str">
        <x:v>Sharmin Miah</x:v>
      </x:c>
      <x:c r="C198" s="16" t="str">
        <x:v>Female</x:v>
      </x:c>
      <x:c r="D198" s="16" t="str">
        <x:v>Production</x:v>
      </x:c>
      <x:c r="E198" s="16" t="str">
        <x:v>Production Operator</x:v>
      </x:c>
      <x:c r="F198" s="16" t="str">
        <x:v>Gazipur Plant</x:v>
      </x:c>
      <x:c r="G198" s="16" t="str">
        <x:v>Probation</x:v>
      </x:c>
      <x:c r="H198" s="35" t="n">
        <x:v>42847</x:v>
      </x:c>
      <x:c r="I198" s="35"/>
      <x:c r="J198" s="16" t="str"/>
      <x:c r="K198" s="16" t="str">
        <x:f>IF(I198="","Active","Exited")</x:f>
        <x:v>Active</x:v>
      </x:c>
      <x:c r="L198" s="16" t="n">
        <x:f>(YEAR(IF(I198="",TODAY(),I198))-YEAR(H198))*12+MONTH(IF(I198="",TODAY(),I198))-MONTH(H198)</x:f>
        <x:v>111</x:v>
      </x:c>
      <x:c r="M198" s="36" t="n">
        <x:f>DATE(YEAR(H198),MONTH(H198),1)</x:f>
        <x:v>42826</x:v>
      </x:c>
      <x:c r="N198" s="36" t="str">
        <x:f>IF(I198="","",DATE(YEAR(I198),MONTH(I198),1))</x:f>
      </x:c>
    </x:row>
    <x:row r="199">
      <x:c r="A199" s="16" t="str">
        <x:v>HG-01198</x:v>
      </x:c>
      <x:c r="B199" s="16" t="str">
        <x:v>Arif Rahman</x:v>
      </x:c>
      <x:c r="C199" s="16" t="str">
        <x:v>Male</x:v>
      </x:c>
      <x:c r="D199" s="16" t="str">
        <x:v>Production</x:v>
      </x:c>
      <x:c r="E199" s="16" t="str">
        <x:v>Assistant Manager - Production</x:v>
      </x:c>
      <x:c r="F199" s="16" t="str">
        <x:v>Narayanganj Plant</x:v>
      </x:c>
      <x:c r="G199" s="16" t="str">
        <x:v>Permanent</x:v>
      </x:c>
      <x:c r="H199" s="35" t="n">
        <x:v>44170</x:v>
      </x:c>
      <x:c r="I199" s="35"/>
      <x:c r="J199" s="16" t="str"/>
      <x:c r="K199" s="16" t="str">
        <x:f>IF(I199="","Active","Exited")</x:f>
        <x:v>Active</x:v>
      </x:c>
      <x:c r="L199" s="16" t="n">
        <x:f>(YEAR(IF(I199="",TODAY(),I199))-YEAR(H199))*12+MONTH(IF(I199="",TODAY(),I199))-MONTH(H199)</x:f>
        <x:v>67</x:v>
      </x:c>
      <x:c r="M199" s="36" t="n">
        <x:f>DATE(YEAR(H199),MONTH(H199),1)</x:f>
        <x:v>44166</x:v>
      </x:c>
      <x:c r="N199" s="36" t="str">
        <x:f>IF(I199="","",DATE(YEAR(I199),MONTH(I199),1))</x:f>
      </x:c>
    </x:row>
    <x:row r="200">
      <x:c r="A200" s="16" t="str">
        <x:v>HG-01199</x:v>
      </x:c>
      <x:c r="B200" s="16" t="str">
        <x:v>Farhan Miah</x:v>
      </x:c>
      <x:c r="C200" s="16" t="str">
        <x:v>Male</x:v>
      </x:c>
      <x:c r="D200" s="16" t="str">
        <x:v>Quality Assurance</x:v>
      </x:c>
      <x:c r="E200" s="16" t="str">
        <x:v>Quality Inspector</x:v>
      </x:c>
      <x:c r="F200" s="16" t="str">
        <x:v>Narayanganj Plant</x:v>
      </x:c>
      <x:c r="G200" s="16" t="str">
        <x:v>Contract</x:v>
      </x:c>
      <x:c r="H200" s="35" t="n">
        <x:v>44809</x:v>
      </x:c>
      <x:c r="I200" s="35"/>
      <x:c r="J200" s="16" t="str"/>
      <x:c r="K200" s="16" t="str">
        <x:f>IF(I200="","Active","Exited")</x:f>
        <x:v>Active</x:v>
      </x:c>
      <x:c r="L200" s="16" t="n">
        <x:f>(YEAR(IF(I200="",TODAY(),I200))-YEAR(H200))*12+MONTH(IF(I200="",TODAY(),I200))-MONTH(H200)</x:f>
        <x:v>46</x:v>
      </x:c>
      <x:c r="M200" s="36" t="n">
        <x:f>DATE(YEAR(H200),MONTH(H200),1)</x:f>
        <x:v>44805</x:v>
      </x:c>
      <x:c r="N200" s="36" t="str">
        <x:f>IF(I200="","",DATE(YEAR(I200),MONTH(I200),1))</x:f>
      </x:c>
    </x:row>
    <x:row r="201">
      <x:c r="A201" s="16" t="str">
        <x:v>HG-01200</x:v>
      </x:c>
      <x:c r="B201" s="16" t="str">
        <x:v>Foysal Kabir</x:v>
      </x:c>
      <x:c r="C201" s="16" t="str">
        <x:v>Male</x:v>
      </x:c>
      <x:c r="D201" s="16" t="str">
        <x:v>Quality Assurance</x:v>
      </x:c>
      <x:c r="E201" s="16" t="str">
        <x:v>Senior QA Executive</x:v>
      </x:c>
      <x:c r="F201" s="16" t="str">
        <x:v>Narayanganj Plant</x:v>
      </x:c>
      <x:c r="G201" s="16" t="str">
        <x:v>Permanent</x:v>
      </x:c>
      <x:c r="H201" s="35" t="n">
        <x:v>42817</x:v>
      </x:c>
      <x:c r="I201" s="35"/>
      <x:c r="J201" s="16" t="str"/>
      <x:c r="K201" s="16" t="str">
        <x:f>IF(I201="","Active","Exited")</x:f>
        <x:v>Active</x:v>
      </x:c>
      <x:c r="L201" s="16" t="n">
        <x:f>(YEAR(IF(I201="",TODAY(),I201))-YEAR(H201))*12+MONTH(IF(I201="",TODAY(),I201))-MONTH(H201)</x:f>
        <x:v>112</x:v>
      </x:c>
      <x:c r="M201" s="36" t="n">
        <x:f>DATE(YEAR(H201),MONTH(H201),1)</x:f>
        <x:v>42795</x:v>
      </x:c>
      <x:c r="N201" s="36" t="str">
        <x:f>IF(I201="","",DATE(YEAR(I201),MONTH(I201),1))</x:f>
      </x:c>
    </x:row>
    <x:row r="202">
      <x:c r="A202" s="16" t="str">
        <x:v>HG-01201</x:v>
      </x:c>
      <x:c r="B202" s="16" t="str">
        <x:v>Jubayer Hasan</x:v>
      </x:c>
      <x:c r="C202" s="16" t="str">
        <x:v>Male</x:v>
      </x:c>
      <x:c r="D202" s="16" t="str">
        <x:v>Information Technology</x:v>
      </x:c>
      <x:c r="E202" s="16" t="str">
        <x:v>System Administrator</x:v>
      </x:c>
      <x:c r="F202" s="16" t="str">
        <x:v>Gazipur Plant</x:v>
      </x:c>
      <x:c r="G202" s="16" t="str">
        <x:v>Permanent</x:v>
      </x:c>
      <x:c r="H202" s="35" t="n">
        <x:v>45271</x:v>
      </x:c>
      <x:c r="I202" s="35"/>
      <x:c r="J202" s="16" t="str"/>
      <x:c r="K202" s="16" t="str">
        <x:f>IF(I202="","Active","Exited")</x:f>
        <x:v>Active</x:v>
      </x:c>
      <x:c r="L202" s="16" t="n">
        <x:f>(YEAR(IF(I202="",TODAY(),I202))-YEAR(H202))*12+MONTH(IF(I202="",TODAY(),I202))-MONTH(H202)</x:f>
        <x:v>31</x:v>
      </x:c>
      <x:c r="M202" s="36" t="n">
        <x:f>DATE(YEAR(H202),MONTH(H202),1)</x:f>
        <x:v>45261</x:v>
      </x:c>
      <x:c r="N202" s="36" t="str">
        <x:f>IF(I202="","",DATE(YEAR(I202),MONTH(I202),1))</x:f>
      </x:c>
    </x:row>
    <x:row r="203">
      <x:c r="A203" s="16" t="str">
        <x:v>HG-01202</x:v>
      </x:c>
      <x:c r="B203" s="16" t="str">
        <x:v>Imran Begum</x:v>
      </x:c>
      <x:c r="C203" s="16" t="str">
        <x:v>Male</x:v>
      </x:c>
      <x:c r="D203" s="16" t="str">
        <x:v>Production</x:v>
      </x:c>
      <x:c r="E203" s="16" t="str">
        <x:v>Senior Operator</x:v>
      </x:c>
      <x:c r="F203" s="16" t="str">
        <x:v>Dhaka Head Office</x:v>
      </x:c>
      <x:c r="G203" s="16" t="str">
        <x:v>Contract</x:v>
      </x:c>
      <x:c r="H203" s="35" t="n">
        <x:v>44952</x:v>
      </x:c>
      <x:c r="I203" s="35"/>
      <x:c r="J203" s="16" t="str"/>
      <x:c r="K203" s="16" t="str">
        <x:f>IF(I203="","Active","Exited")</x:f>
        <x:v>Active</x:v>
      </x:c>
      <x:c r="L203" s="16" t="n">
        <x:f>(YEAR(IF(I203="",TODAY(),I203))-YEAR(H203))*12+MONTH(IF(I203="",TODAY(),I203))-MONTH(H203)</x:f>
        <x:v>42</x:v>
      </x:c>
      <x:c r="M203" s="36" t="n">
        <x:f>DATE(YEAR(H203),MONTH(H203),1)</x:f>
        <x:v>44927</x:v>
      </x:c>
      <x:c r="N203" s="36" t="str">
        <x:f>IF(I203="","",DATE(YEAR(I203),MONTH(I203),1))</x:f>
      </x:c>
    </x:row>
    <x:row r="204">
      <x:c r="A204" s="16" t="str">
        <x:v>HG-01203</x:v>
      </x:c>
      <x:c r="B204" s="16" t="str">
        <x:v>Asif Islam</x:v>
      </x:c>
      <x:c r="C204" s="16" t="str">
        <x:v>Male</x:v>
      </x:c>
      <x:c r="D204" s="16" t="str">
        <x:v>Production</x:v>
      </x:c>
      <x:c r="E204" s="16" t="str">
        <x:v>Senior Operator</x:v>
      </x:c>
      <x:c r="F204" s="16" t="str">
        <x:v>Dhaka Head Office</x:v>
      </x:c>
      <x:c r="G204" s="16" t="str">
        <x:v>Permanent</x:v>
      </x:c>
      <x:c r="H204" s="35" t="n">
        <x:v>44623</x:v>
      </x:c>
      <x:c r="I204" s="35"/>
      <x:c r="J204" s="16" t="str"/>
      <x:c r="K204" s="16" t="str">
        <x:f>IF(I204="","Active","Exited")</x:f>
        <x:v>Active</x:v>
      </x:c>
      <x:c r="L204" s="16" t="n">
        <x:f>(YEAR(IF(I204="",TODAY(),I204))-YEAR(H204))*12+MONTH(IF(I204="",TODAY(),I204))-MONTH(H204)</x:f>
        <x:v>52</x:v>
      </x:c>
      <x:c r="M204" s="36" t="n">
        <x:f>DATE(YEAR(H204),MONTH(H204),1)</x:f>
        <x:v>44621</x:v>
      </x:c>
      <x:c r="N204" s="36" t="str">
        <x:f>IF(I204="","",DATE(YEAR(I204),MONTH(I204),1))</x:f>
      </x:c>
    </x:row>
    <x:row r="205">
      <x:c r="A205" s="16" t="str">
        <x:v>HG-01204</x:v>
      </x:c>
      <x:c r="B205" s="16" t="str">
        <x:v>Sadika Hasan</x:v>
      </x:c>
      <x:c r="C205" s="16" t="str">
        <x:v>Female</x:v>
      </x:c>
      <x:c r="D205" s="16" t="str">
        <x:v>Quality Assurance</x:v>
      </x:c>
      <x:c r="E205" s="16" t="str">
        <x:v>Quality Inspector</x:v>
      </x:c>
      <x:c r="F205" s="16" t="str">
        <x:v>Dhaka Head Office</x:v>
      </x:c>
      <x:c r="G205" s="16" t="str">
        <x:v>Permanent</x:v>
      </x:c>
      <x:c r="H205" s="35" t="n">
        <x:v>43939</x:v>
      </x:c>
      <x:c r="I205" s="35" t="n">
        <x:v>45796</x:v>
      </x:c>
      <x:c r="J205" s="16" t="str">
        <x:v>Better Opportunity</x:v>
      </x:c>
      <x:c r="K205" s="16" t="str">
        <x:f>IF(I205="","Active","Exited")</x:f>
        <x:v>Exited</x:v>
      </x:c>
      <x:c r="L205" s="16" t="n">
        <x:f>(YEAR(IF(I205="",TODAY(),I205))-YEAR(H205))*12+MONTH(IF(I205="",TODAY(),I205))-MONTH(H205)</x:f>
        <x:v>61</x:v>
      </x:c>
      <x:c r="M205" s="36" t="n">
        <x:f>DATE(YEAR(H205),MONTH(H205),1)</x:f>
        <x:v>43922</x:v>
      </x:c>
      <x:c r="N205" s="36" t="n">
        <x:f>IF(I205="","",DATE(YEAR(I205),MONTH(I205),1))</x:f>
        <x:v>45778</x:v>
      </x:c>
    </x:row>
    <x:row r="206">
      <x:c r="A206" s="16" t="str">
        <x:v>HG-01205</x:v>
      </x:c>
      <x:c r="B206" s="16" t="str">
        <x:v>Sharmin Ahmed</x:v>
      </x:c>
      <x:c r="C206" s="16" t="str">
        <x:v>Female</x:v>
      </x:c>
      <x:c r="D206" s="16" t="str">
        <x:v>Sales &amp; Marketing</x:v>
      </x:c>
      <x:c r="E206" s="16" t="str">
        <x:v>Key Account Executive</x:v>
      </x:c>
      <x:c r="F206" s="16" t="str">
        <x:v>Dhaka Head Office</x:v>
      </x:c>
      <x:c r="G206" s="16" t="str">
        <x:v>Contract</x:v>
      </x:c>
      <x:c r="H206" s="35" t="n">
        <x:v>43010</x:v>
      </x:c>
      <x:c r="I206" s="35"/>
      <x:c r="J206" s="16" t="str"/>
      <x:c r="K206" s="16" t="str">
        <x:f>IF(I206="","Active","Exited")</x:f>
        <x:v>Active</x:v>
      </x:c>
      <x:c r="L206" s="16" t="n">
        <x:f>(YEAR(IF(I206="",TODAY(),I206))-YEAR(H206))*12+MONTH(IF(I206="",TODAY(),I206))-MONTH(H206)</x:f>
        <x:v>105</x:v>
      </x:c>
      <x:c r="M206" s="36" t="n">
        <x:f>DATE(YEAR(H206),MONTH(H206),1)</x:f>
        <x:v>43009</x:v>
      </x:c>
      <x:c r="N206" s="36" t="str">
        <x:f>IF(I206="","",DATE(YEAR(I206),MONTH(I206),1))</x:f>
      </x:c>
    </x:row>
    <x:row r="207">
      <x:c r="A207" s="16" t="str">
        <x:v>HG-01206</x:v>
      </x:c>
      <x:c r="B207" s="16" t="str">
        <x:v>Foysal Ahmed</x:v>
      </x:c>
      <x:c r="C207" s="16" t="str">
        <x:v>Male</x:v>
      </x:c>
      <x:c r="D207" s="16" t="str">
        <x:v>Production</x:v>
      </x:c>
      <x:c r="E207" s="16" t="str">
        <x:v>Production Operator</x:v>
      </x:c>
      <x:c r="F207" s="16" t="str">
        <x:v>Chattogram Office</x:v>
      </x:c>
      <x:c r="G207" s="16" t="str">
        <x:v>Permanent</x:v>
      </x:c>
      <x:c r="H207" s="35" t="n">
        <x:v>45164</x:v>
      </x:c>
      <x:c r="I207" s="35" t="n">
        <x:v>46022</x:v>
      </x:c>
      <x:c r="J207" s="16" t="str">
        <x:v>Supervisor / Management</x:v>
      </x:c>
      <x:c r="K207" s="16" t="str">
        <x:f>IF(I207="","Active","Exited")</x:f>
        <x:v>Exited</x:v>
      </x:c>
      <x:c r="L207" s="16" t="n">
        <x:f>(YEAR(IF(I207="",TODAY(),I207))-YEAR(H207))*12+MONTH(IF(I207="",TODAY(),I207))-MONTH(H207)</x:f>
        <x:v>28</x:v>
      </x:c>
      <x:c r="M207" s="36" t="n">
        <x:f>DATE(YEAR(H207),MONTH(H207),1)</x:f>
        <x:v>45139</x:v>
      </x:c>
      <x:c r="N207" s="36" t="n">
        <x:f>IF(I207="","",DATE(YEAR(I207),MONTH(I207),1))</x:f>
        <x:v>45992</x:v>
      </x:c>
    </x:row>
    <x:row r="208">
      <x:c r="A208" s="16" t="str">
        <x:v>HG-01207</x:v>
      </x:c>
      <x:c r="B208" s="16" t="str">
        <x:v>Nazmul Miah</x:v>
      </x:c>
      <x:c r="C208" s="16" t="str">
        <x:v>Male</x:v>
      </x:c>
      <x:c r="D208" s="16" t="str">
        <x:v>Sales &amp; Marketing</x:v>
      </x:c>
      <x:c r="E208" s="16" t="str">
        <x:v>Assistant Manager - Sales</x:v>
      </x:c>
      <x:c r="F208" s="16" t="str">
        <x:v>Dhaka Head Office</x:v>
      </x:c>
      <x:c r="G208" s="16" t="str">
        <x:v>Permanent</x:v>
      </x:c>
      <x:c r="H208" s="35" t="n">
        <x:v>44179</x:v>
      </x:c>
      <x:c r="I208" s="35"/>
      <x:c r="J208" s="16" t="str"/>
      <x:c r="K208" s="16" t="str">
        <x:f>IF(I208="","Active","Exited")</x:f>
        <x:v>Active</x:v>
      </x:c>
      <x:c r="L208" s="16" t="n">
        <x:f>(YEAR(IF(I208="",TODAY(),I208))-YEAR(H208))*12+MONTH(IF(I208="",TODAY(),I208))-MONTH(H208)</x:f>
        <x:v>67</x:v>
      </x:c>
      <x:c r="M208" s="36" t="n">
        <x:f>DATE(YEAR(H208),MONTH(H208),1)</x:f>
        <x:v>44166</x:v>
      </x:c>
      <x:c r="N208" s="36" t="str">
        <x:f>IF(I208="","",DATE(YEAR(I208),MONTH(I208),1))</x:f>
      </x:c>
    </x:row>
    <x:row r="209">
      <x:c r="A209" s="16" t="str">
        <x:v>HG-01208</x:v>
      </x:c>
      <x:c r="B209" s="16" t="str">
        <x:v>Fahim Hasan</x:v>
      </x:c>
      <x:c r="C209" s="16" t="str">
        <x:v>Male</x:v>
      </x:c>
      <x:c r="D209" s="16" t="str">
        <x:v>Production</x:v>
      </x:c>
      <x:c r="E209" s="16" t="str">
        <x:v>Line Supervisor</x:v>
      </x:c>
      <x:c r="F209" s="16" t="str">
        <x:v>Narayanganj Plant</x:v>
      </x:c>
      <x:c r="G209" s="16" t="str">
        <x:v>Permanent</x:v>
      </x:c>
      <x:c r="H209" s="35" t="n">
        <x:v>44743</x:v>
      </x:c>
      <x:c r="I209" s="35"/>
      <x:c r="J209" s="16" t="str"/>
      <x:c r="K209" s="16" t="str">
        <x:f>IF(I209="","Active","Exited")</x:f>
        <x:v>Active</x:v>
      </x:c>
      <x:c r="L209" s="16" t="n">
        <x:f>(YEAR(IF(I209="",TODAY(),I209))-YEAR(H209))*12+MONTH(IF(I209="",TODAY(),I209))-MONTH(H209)</x:f>
        <x:v>48</x:v>
      </x:c>
      <x:c r="M209" s="36" t="n">
        <x:f>DATE(YEAR(H209),MONTH(H209),1)</x:f>
        <x:v>44743</x:v>
      </x:c>
      <x:c r="N209" s="36" t="str">
        <x:f>IF(I209="","",DATE(YEAR(I209),MONTH(I209),1))</x:f>
      </x:c>
    </x:row>
    <x:row r="210">
      <x:c r="A210" s="16" t="str">
        <x:v>HG-01209</x:v>
      </x:c>
      <x:c r="B210" s="16" t="str">
        <x:v>Tasnim Hasan</x:v>
      </x:c>
      <x:c r="C210" s="16" t="str">
        <x:v>Female</x:v>
      </x:c>
      <x:c r="D210" s="16" t="str">
        <x:v>Sales &amp; Marketing</x:v>
      </x:c>
      <x:c r="E210" s="16" t="str">
        <x:v>Territory Officer</x:v>
      </x:c>
      <x:c r="F210" s="16" t="str">
        <x:v>Dhaka Head Office</x:v>
      </x:c>
      <x:c r="G210" s="16" t="str">
        <x:v>Permanent</x:v>
      </x:c>
      <x:c r="H210" s="35" t="n">
        <x:v>44286</x:v>
      </x:c>
      <x:c r="I210" s="35"/>
      <x:c r="J210" s="16" t="str"/>
      <x:c r="K210" s="16" t="str">
        <x:f>IF(I210="","Active","Exited")</x:f>
        <x:v>Active</x:v>
      </x:c>
      <x:c r="L210" s="16" t="n">
        <x:f>(YEAR(IF(I210="",TODAY(),I210))-YEAR(H210))*12+MONTH(IF(I210="",TODAY(),I210))-MONTH(H210)</x:f>
        <x:v>64</x:v>
      </x:c>
      <x:c r="M210" s="36" t="n">
        <x:f>DATE(YEAR(H210),MONTH(H210),1)</x:f>
        <x:v>44256</x:v>
      </x:c>
      <x:c r="N210" s="36" t="str">
        <x:f>IF(I210="","",DATE(YEAR(I210),MONTH(I210),1))</x:f>
      </x:c>
    </x:row>
    <x:row r="211">
      <x:c r="A211" s="16" t="str">
        <x:v>HG-01210</x:v>
      </x:c>
      <x:c r="B211" s="16" t="str">
        <x:v>Sajid Akter</x:v>
      </x:c>
      <x:c r="C211" s="16" t="str">
        <x:v>Male</x:v>
      </x:c>
      <x:c r="D211" s="16" t="str">
        <x:v>Quality Assurance</x:v>
      </x:c>
      <x:c r="E211" s="16" t="str">
        <x:v>Quality Inspector</x:v>
      </x:c>
      <x:c r="F211" s="16" t="str">
        <x:v>Gazipur Plant</x:v>
      </x:c>
      <x:c r="G211" s="16" t="str">
        <x:v>Permanent</x:v>
      </x:c>
      <x:c r="H211" s="35" t="n">
        <x:v>44588</x:v>
      </x:c>
      <x:c r="I211" s="35"/>
      <x:c r="J211" s="16" t="str"/>
      <x:c r="K211" s="16" t="str">
        <x:f>IF(I211="","Active","Exited")</x:f>
        <x:v>Active</x:v>
      </x:c>
      <x:c r="L211" s="16" t="n">
        <x:f>(YEAR(IF(I211="",TODAY(),I211))-YEAR(H211))*12+MONTH(IF(I211="",TODAY(),I211))-MONTH(H211)</x:f>
        <x:v>54</x:v>
      </x:c>
      <x:c r="M211" s="36" t="n">
        <x:f>DATE(YEAR(H211),MONTH(H211),1)</x:f>
        <x:v>44562</x:v>
      </x:c>
      <x:c r="N211" s="36" t="str">
        <x:f>IF(I211="","",DATE(YEAR(I211),MONTH(I211),1))</x:f>
      </x:c>
    </x:row>
    <x:row r="212">
      <x:c r="A212" s="16" t="str">
        <x:v>HG-01211</x:v>
      </x:c>
      <x:c r="B212" s="16" t="str">
        <x:v>Rakib Ahmed</x:v>
      </x:c>
      <x:c r="C212" s="16" t="str">
        <x:v>Male</x:v>
      </x:c>
      <x:c r="D212" s="16" t="str">
        <x:v>Supply Chain</x:v>
      </x:c>
      <x:c r="E212" s="16" t="str">
        <x:v>Procurement Executive</x:v>
      </x:c>
      <x:c r="F212" s="16" t="str">
        <x:v>Narayanganj Plant</x:v>
      </x:c>
      <x:c r="G212" s="16" t="str">
        <x:v>Probation</x:v>
      </x:c>
      <x:c r="H212" s="35" t="n">
        <x:v>42988</x:v>
      </x:c>
      <x:c r="I212" s="35"/>
      <x:c r="J212" s="16" t="str"/>
      <x:c r="K212" s="16" t="str">
        <x:f>IF(I212="","Active","Exited")</x:f>
        <x:v>Active</x:v>
      </x:c>
      <x:c r="L212" s="16" t="n">
        <x:f>(YEAR(IF(I212="",TODAY(),I212))-YEAR(H212))*12+MONTH(IF(I212="",TODAY(),I212))-MONTH(H212)</x:f>
        <x:v>106</x:v>
      </x:c>
      <x:c r="M212" s="36" t="n">
        <x:f>DATE(YEAR(H212),MONTH(H212),1)</x:f>
        <x:v>42979</x:v>
      </x:c>
      <x:c r="N212" s="36" t="str">
        <x:f>IF(I212="","",DATE(YEAR(I212),MONTH(I212),1))</x:f>
      </x:c>
    </x:row>
    <x:row r="213">
      <x:c r="A213" s="16" t="str">
        <x:v>HG-01212</x:v>
      </x:c>
      <x:c r="B213" s="16" t="str">
        <x:v>Sharmin Begum</x:v>
      </x:c>
      <x:c r="C213" s="16" t="str">
        <x:v>Female</x:v>
      </x:c>
      <x:c r="D213" s="16" t="str">
        <x:v>Production</x:v>
      </x:c>
      <x:c r="E213" s="16" t="str">
        <x:v>Production Operator</x:v>
      </x:c>
      <x:c r="F213" s="16" t="str">
        <x:v>Gazipur Plant</x:v>
      </x:c>
      <x:c r="G213" s="16" t="str">
        <x:v>Permanent</x:v>
      </x:c>
      <x:c r="H213" s="35" t="n">
        <x:v>45568</x:v>
      </x:c>
      <x:c r="I213" s="35" t="n">
        <x:v>46179</x:v>
      </x:c>
      <x:c r="J213" s="16" t="str">
        <x:v>Career Growth</x:v>
      </x:c>
      <x:c r="K213" s="16" t="str">
        <x:f>IF(I213="","Active","Exited")</x:f>
        <x:v>Exited</x:v>
      </x:c>
      <x:c r="L213" s="16" t="n">
        <x:f>(YEAR(IF(I213="",TODAY(),I213))-YEAR(H213))*12+MONTH(IF(I213="",TODAY(),I213))-MONTH(H213)</x:f>
        <x:v>20</x:v>
      </x:c>
      <x:c r="M213" s="36" t="n">
        <x:f>DATE(YEAR(H213),MONTH(H213),1)</x:f>
        <x:v>45566</x:v>
      </x:c>
      <x:c r="N213" s="36" t="n">
        <x:f>IF(I213="","",DATE(YEAR(I213),MONTH(I213),1))</x:f>
        <x:v>46174</x:v>
      </x:c>
    </x:row>
    <x:row r="214">
      <x:c r="A214" s="16" t="str">
        <x:v>HG-01213</x:v>
      </x:c>
      <x:c r="B214" s="16" t="str">
        <x:v>Rafi Khan</x:v>
      </x:c>
      <x:c r="C214" s="16" t="str">
        <x:v>Male</x:v>
      </x:c>
      <x:c r="D214" s="16" t="str">
        <x:v>Quality Assurance</x:v>
      </x:c>
      <x:c r="E214" s="16" t="str">
        <x:v>Quality Inspector</x:v>
      </x:c>
      <x:c r="F214" s="16" t="str">
        <x:v>Gazipur Plant</x:v>
      </x:c>
      <x:c r="G214" s="16" t="str">
        <x:v>Permanent</x:v>
      </x:c>
      <x:c r="H214" s="35" t="n">
        <x:v>45648</x:v>
      </x:c>
      <x:c r="I214" s="35" t="n">
        <x:v>45863</x:v>
      </x:c>
      <x:c r="J214" s="16" t="str">
        <x:v>Compensation &amp; Benefits</x:v>
      </x:c>
      <x:c r="K214" s="16" t="str">
        <x:f>IF(I214="","Active","Exited")</x:f>
        <x:v>Exited</x:v>
      </x:c>
      <x:c r="L214" s="16" t="n">
        <x:f>(YEAR(IF(I214="",TODAY(),I214))-YEAR(H214))*12+MONTH(IF(I214="",TODAY(),I214))-MONTH(H214)</x:f>
        <x:v>7</x:v>
      </x:c>
      <x:c r="M214" s="36" t="n">
        <x:f>DATE(YEAR(H214),MONTH(H214),1)</x:f>
        <x:v>45627</x:v>
      </x:c>
      <x:c r="N214" s="36" t="n">
        <x:f>IF(I214="","",DATE(YEAR(I214),MONTH(I214),1))</x:f>
        <x:v>45839</x:v>
      </x:c>
    </x:row>
    <x:row r="215">
      <x:c r="A215" s="16" t="str">
        <x:v>HG-01214</x:v>
      </x:c>
      <x:c r="B215" s="16" t="str">
        <x:v>Sadika Chowdhury</x:v>
      </x:c>
      <x:c r="C215" s="16" t="str">
        <x:v>Female</x:v>
      </x:c>
      <x:c r="D215" s="16" t="str">
        <x:v>Sales &amp; Marketing</x:v>
      </x:c>
      <x:c r="E215" s="16" t="str">
        <x:v>Marketing Officer</x:v>
      </x:c>
      <x:c r="F215" s="16" t="str">
        <x:v>Dhaka Head Office</x:v>
      </x:c>
      <x:c r="G215" s="16" t="str">
        <x:v>Permanent</x:v>
      </x:c>
      <x:c r="H215" s="35" t="n">
        <x:v>43416</x:v>
      </x:c>
      <x:c r="I215" s="35"/>
      <x:c r="J215" s="16" t="str"/>
      <x:c r="K215" s="16" t="str">
        <x:f>IF(I215="","Active","Exited")</x:f>
        <x:v>Active</x:v>
      </x:c>
      <x:c r="L215" s="16" t="n">
        <x:f>(YEAR(IF(I215="",TODAY(),I215))-YEAR(H215))*12+MONTH(IF(I215="",TODAY(),I215))-MONTH(H215)</x:f>
        <x:v>92</x:v>
      </x:c>
      <x:c r="M215" s="36" t="n">
        <x:f>DATE(YEAR(H215),MONTH(H215),1)</x:f>
        <x:v>43405</x:v>
      </x:c>
      <x:c r="N215" s="36" t="str">
        <x:f>IF(I215="","",DATE(YEAR(I215),MONTH(I215),1))</x:f>
      </x:c>
    </x:row>
    <x:row r="216">
      <x:c r="A216" s="16" t="str">
        <x:v>HG-01215</x:v>
      </x:c>
      <x:c r="B216" s="16" t="str">
        <x:v>Asif Ahmed</x:v>
      </x:c>
      <x:c r="C216" s="16" t="str">
        <x:v>Male</x:v>
      </x:c>
      <x:c r="D216" s="16" t="str">
        <x:v>Finance &amp; Accounts</x:v>
      </x:c>
      <x:c r="E216" s="16" t="str">
        <x:v>Finance Officer</x:v>
      </x:c>
      <x:c r="F216" s="16" t="str">
        <x:v>Dhaka Head Office</x:v>
      </x:c>
      <x:c r="G216" s="16" t="str">
        <x:v>Contract</x:v>
      </x:c>
      <x:c r="H216" s="35" t="n">
        <x:v>44437</x:v>
      </x:c>
      <x:c r="I216" s="35"/>
      <x:c r="J216" s="16" t="str"/>
      <x:c r="K216" s="16" t="str">
        <x:f>IF(I216="","Active","Exited")</x:f>
        <x:v>Active</x:v>
      </x:c>
      <x:c r="L216" s="16" t="n">
        <x:f>(YEAR(IF(I216="",TODAY(),I216))-YEAR(H216))*12+MONTH(IF(I216="",TODAY(),I216))-MONTH(H216)</x:f>
        <x:v>59</x:v>
      </x:c>
      <x:c r="M216" s="36" t="n">
        <x:f>DATE(YEAR(H216),MONTH(H216),1)</x:f>
        <x:v>44409</x:v>
      </x:c>
      <x:c r="N216" s="36" t="str">
        <x:f>IF(I216="","",DATE(YEAR(I216),MONTH(I216),1))</x:f>
      </x:c>
    </x:row>
    <x:row r="217">
      <x:c r="A217" s="16" t="str">
        <x:v>HG-01216</x:v>
      </x:c>
      <x:c r="B217" s="16" t="str">
        <x:v>Shakil Rahman</x:v>
      </x:c>
      <x:c r="C217" s="16" t="str">
        <x:v>Male</x:v>
      </x:c>
      <x:c r="D217" s="16" t="str">
        <x:v>Sales &amp; Marketing</x:v>
      </x:c>
      <x:c r="E217" s="16" t="str">
        <x:v>Sales Executive</x:v>
      </x:c>
      <x:c r="F217" s="16" t="str">
        <x:v>Dhaka Head Office</x:v>
      </x:c>
      <x:c r="G217" s="16" t="str">
        <x:v>Contract</x:v>
      </x:c>
      <x:c r="H217" s="35" t="n">
        <x:v>45531</x:v>
      </x:c>
      <x:c r="I217" s="35"/>
      <x:c r="J217" s="16" t="str"/>
      <x:c r="K217" s="16" t="str">
        <x:f>IF(I217="","Active","Exited")</x:f>
        <x:v>Active</x:v>
      </x:c>
      <x:c r="L217" s="16" t="n">
        <x:f>(YEAR(IF(I217="",TODAY(),I217))-YEAR(H217))*12+MONTH(IF(I217="",TODAY(),I217))-MONTH(H217)</x:f>
        <x:v>23</x:v>
      </x:c>
      <x:c r="M217" s="36" t="n">
        <x:f>DATE(YEAR(H217),MONTH(H217),1)</x:f>
        <x:v>45505</x:v>
      </x:c>
      <x:c r="N217" s="36" t="str">
        <x:f>IF(I217="","",DATE(YEAR(I217),MONTH(I217),1))</x:f>
      </x:c>
    </x:row>
    <x:row r="218">
      <x:c r="A218" s="16" t="str">
        <x:v>HG-01217</x:v>
      </x:c>
      <x:c r="B218" s="16" t="str">
        <x:v>Mizan Hasan</x:v>
      </x:c>
      <x:c r="C218" s="16" t="str">
        <x:v>Male</x:v>
      </x:c>
      <x:c r="D218" s="16" t="str">
        <x:v>Production</x:v>
      </x:c>
      <x:c r="E218" s="16" t="str">
        <x:v>Production Operator</x:v>
      </x:c>
      <x:c r="F218" s="16" t="str">
        <x:v>Gazipur Plant</x:v>
      </x:c>
      <x:c r="G218" s="16" t="str">
        <x:v>Permanent</x:v>
      </x:c>
      <x:c r="H218" s="35" t="n">
        <x:v>45504</x:v>
      </x:c>
      <x:c r="I218" s="35" t="n">
        <x:v>45902</x:v>
      </x:c>
      <x:c r="J218" s="16" t="str">
        <x:v>Performance</x:v>
      </x:c>
      <x:c r="K218" s="16" t="str">
        <x:f>IF(I218="","Active","Exited")</x:f>
        <x:v>Exited</x:v>
      </x:c>
      <x:c r="L218" s="16" t="n">
        <x:f>(YEAR(IF(I218="",TODAY(),I218))-YEAR(H218))*12+MONTH(IF(I218="",TODAY(),I218))-MONTH(H218)</x:f>
        <x:v>14</x:v>
      </x:c>
      <x:c r="M218" s="36" t="n">
        <x:f>DATE(YEAR(H218),MONTH(H218),1)</x:f>
        <x:v>45474</x:v>
      </x:c>
      <x:c r="N218" s="36" t="n">
        <x:f>IF(I218="","",DATE(YEAR(I218),MONTH(I218),1))</x:f>
        <x:v>45901</x:v>
      </x:c>
    </x:row>
    <x:row r="219">
      <x:c r="A219" s="16" t="str">
        <x:v>HG-01218</x:v>
      </x:c>
      <x:c r="B219" s="16" t="str">
        <x:v>Imran Alam</x:v>
      </x:c>
      <x:c r="C219" s="16" t="str">
        <x:v>Male</x:v>
      </x:c>
      <x:c r="D219" s="16" t="str">
        <x:v>Finance &amp; Accounts</x:v>
      </x:c>
      <x:c r="E219" s="16" t="str">
        <x:v>Accounts Executive</x:v>
      </x:c>
      <x:c r="F219" s="16" t="str">
        <x:v>Dhaka Head Office</x:v>
      </x:c>
      <x:c r="G219" s="16" t="str">
        <x:v>Permanent</x:v>
      </x:c>
      <x:c r="H219" s="35" t="n">
        <x:v>43643</x:v>
      </x:c>
      <x:c r="I219" s="35"/>
      <x:c r="J219" s="16" t="str"/>
      <x:c r="K219" s="16" t="str">
        <x:f>IF(I219="","Active","Exited")</x:f>
        <x:v>Active</x:v>
      </x:c>
      <x:c r="L219" s="16" t="n">
        <x:f>(YEAR(IF(I219="",TODAY(),I219))-YEAR(H219))*12+MONTH(IF(I219="",TODAY(),I219))-MONTH(H219)</x:f>
        <x:v>85</x:v>
      </x:c>
      <x:c r="M219" s="36" t="n">
        <x:f>DATE(YEAR(H219),MONTH(H219),1)</x:f>
        <x:v>43617</x:v>
      </x:c>
      <x:c r="N219" s="36" t="str">
        <x:f>IF(I219="","",DATE(YEAR(I219),MONTH(I219),1))</x:f>
      </x:c>
    </x:row>
    <x:row r="220">
      <x:c r="A220" s="16" t="str">
        <x:v>HG-01219</x:v>
      </x:c>
      <x:c r="B220" s="16" t="str">
        <x:v>Sumaiya Begum</x:v>
      </x:c>
      <x:c r="C220" s="16" t="str">
        <x:v>Female</x:v>
      </x:c>
      <x:c r="D220" s="16" t="str">
        <x:v>Quality Assurance</x:v>
      </x:c>
      <x:c r="E220" s="16" t="str">
        <x:v>QA Officer</x:v>
      </x:c>
      <x:c r="F220" s="16" t="str">
        <x:v>Narayanganj Plant</x:v>
      </x:c>
      <x:c r="G220" s="16" t="str">
        <x:v>Permanent</x:v>
      </x:c>
      <x:c r="H220" s="35" t="n">
        <x:v>44490</x:v>
      </x:c>
      <x:c r="I220" s="35"/>
      <x:c r="J220" s="16" t="str"/>
      <x:c r="K220" s="16" t="str">
        <x:f>IF(I220="","Active","Exited")</x:f>
        <x:v>Active</x:v>
      </x:c>
      <x:c r="L220" s="16" t="n">
        <x:f>(YEAR(IF(I220="",TODAY(),I220))-YEAR(H220))*12+MONTH(IF(I220="",TODAY(),I220))-MONTH(H220)</x:f>
        <x:v>57</x:v>
      </x:c>
      <x:c r="M220" s="36" t="n">
        <x:f>DATE(YEAR(H220),MONTH(H220),1)</x:f>
        <x:v>44470</x:v>
      </x:c>
      <x:c r="N220" s="36" t="str">
        <x:f>IF(I220="","",DATE(YEAR(I220),MONTH(I220),1))</x:f>
      </x:c>
    </x:row>
    <x:row r="221">
      <x:c r="A221" s="16" t="str">
        <x:v>HG-01220</x:v>
      </x:c>
      <x:c r="B221" s="16" t="str">
        <x:v>Sadia Alam</x:v>
      </x:c>
      <x:c r="C221" s="16" t="str">
        <x:v>Female</x:v>
      </x:c>
      <x:c r="D221" s="16" t="str">
        <x:v>Administration</x:v>
      </x:c>
      <x:c r="E221" s="16" t="str">
        <x:v>Assistant Manager - Admin</x:v>
      </x:c>
      <x:c r="F221" s="16" t="str">
        <x:v>Narayanganj Plant</x:v>
      </x:c>
      <x:c r="G221" s="16" t="str">
        <x:v>Contract</x:v>
      </x:c>
      <x:c r="H221" s="35" t="n">
        <x:v>44153</x:v>
      </x:c>
      <x:c r="I221" s="35"/>
      <x:c r="J221" s="16" t="str"/>
      <x:c r="K221" s="16" t="str">
        <x:f>IF(I221="","Active","Exited")</x:f>
        <x:v>Active</x:v>
      </x:c>
      <x:c r="L221" s="16" t="n">
        <x:f>(YEAR(IF(I221="",TODAY(),I221))-YEAR(H221))*12+MONTH(IF(I221="",TODAY(),I221))-MONTH(H221)</x:f>
        <x:v>68</x:v>
      </x:c>
      <x:c r="M221" s="36" t="n">
        <x:f>DATE(YEAR(H221),MONTH(H221),1)</x:f>
        <x:v>44136</x:v>
      </x:c>
      <x:c r="N221" s="36" t="str">
        <x:f>IF(I221="","",DATE(YEAR(I221),MONTH(I221),1))</x:f>
      </x:c>
    </x:row>
    <x:row r="222">
      <x:c r="A222" s="16" t="str">
        <x:v>HG-01221</x:v>
      </x:c>
      <x:c r="B222" s="16" t="str">
        <x:v>Rashed Chowdhury</x:v>
      </x:c>
      <x:c r="C222" s="16" t="str">
        <x:v>Male</x:v>
      </x:c>
      <x:c r="D222" s="16" t="str">
        <x:v>Finance &amp; Accounts</x:v>
      </x:c>
      <x:c r="E222" s="16" t="str">
        <x:v>Payroll Executive</x:v>
      </x:c>
      <x:c r="F222" s="16" t="str">
        <x:v>Dhaka Head Office</x:v>
      </x:c>
      <x:c r="G222" s="16" t="str">
        <x:v>Permanent</x:v>
      </x:c>
      <x:c r="H222" s="35" t="n">
        <x:v>44914</x:v>
      </x:c>
      <x:c r="I222" s="35"/>
      <x:c r="J222" s="16" t="str"/>
      <x:c r="K222" s="16" t="str">
        <x:f>IF(I222="","Active","Exited")</x:f>
        <x:v>Active</x:v>
      </x:c>
      <x:c r="L222" s="16" t="n">
        <x:f>(YEAR(IF(I222="",TODAY(),I222))-YEAR(H222))*12+MONTH(IF(I222="",TODAY(),I222))-MONTH(H222)</x:f>
        <x:v>43</x:v>
      </x:c>
      <x:c r="M222" s="36" t="n">
        <x:f>DATE(YEAR(H222),MONTH(H222),1)</x:f>
        <x:v>44896</x:v>
      </x:c>
      <x:c r="N222" s="36" t="str">
        <x:f>IF(I222="","",DATE(YEAR(I222),MONTH(I222),1))</x:f>
      </x:c>
    </x:row>
    <x:row r="223">
      <x:c r="A223" s="16" t="str">
        <x:v>HG-01222</x:v>
      </x:c>
      <x:c r="B223" s="16" t="str">
        <x:v>Sumaiya Hossain</x:v>
      </x:c>
      <x:c r="C223" s="16" t="str">
        <x:v>Female</x:v>
      </x:c>
      <x:c r="D223" s="16" t="str">
        <x:v>Production</x:v>
      </x:c>
      <x:c r="E223" s="16" t="str">
        <x:v>Line Supervisor</x:v>
      </x:c>
      <x:c r="F223" s="16" t="str">
        <x:v>Chattogram Office</x:v>
      </x:c>
      <x:c r="G223" s="16" t="str">
        <x:v>Contract</x:v>
      </x:c>
      <x:c r="H223" s="35" t="n">
        <x:v>45051</x:v>
      </x:c>
      <x:c r="I223" s="35"/>
      <x:c r="J223" s="16" t="str"/>
      <x:c r="K223" s="16" t="str">
        <x:f>IF(I223="","Active","Exited")</x:f>
        <x:v>Active</x:v>
      </x:c>
      <x:c r="L223" s="16" t="n">
        <x:f>(YEAR(IF(I223="",TODAY(),I223))-YEAR(H223))*12+MONTH(IF(I223="",TODAY(),I223))-MONTH(H223)</x:f>
        <x:v>38</x:v>
      </x:c>
      <x:c r="M223" s="36" t="n">
        <x:f>DATE(YEAR(H223),MONTH(H223),1)</x:f>
        <x:v>45047</x:v>
      </x:c>
      <x:c r="N223" s="36" t="str">
        <x:f>IF(I223="","",DATE(YEAR(I223),MONTH(I223),1))</x:f>
      </x:c>
    </x:row>
    <x:row r="224">
      <x:c r="A224" s="16" t="str">
        <x:v>HG-01223</x:v>
      </x:c>
      <x:c r="B224" s="16" t="str">
        <x:v>Mizan Rahman</x:v>
      </x:c>
      <x:c r="C224" s="16" t="str">
        <x:v>Male</x:v>
      </x:c>
      <x:c r="D224" s="16" t="str">
        <x:v>Information Technology</x:v>
      </x:c>
      <x:c r="E224" s="16" t="str">
        <x:v>System Administrator</x:v>
      </x:c>
      <x:c r="F224" s="16" t="str">
        <x:v>Chattogram Office</x:v>
      </x:c>
      <x:c r="G224" s="16" t="str">
        <x:v>Permanent</x:v>
      </x:c>
      <x:c r="H224" s="35" t="n">
        <x:v>45492</x:v>
      </x:c>
      <x:c r="I224" s="35"/>
      <x:c r="J224" s="16" t="str"/>
      <x:c r="K224" s="16" t="str">
        <x:f>IF(I224="","Active","Exited")</x:f>
        <x:v>Active</x:v>
      </x:c>
      <x:c r="L224" s="16" t="n">
        <x:f>(YEAR(IF(I224="",TODAY(),I224))-YEAR(H224))*12+MONTH(IF(I224="",TODAY(),I224))-MONTH(H224)</x:f>
        <x:v>24</x:v>
      </x:c>
      <x:c r="M224" s="36" t="n">
        <x:f>DATE(YEAR(H224),MONTH(H224),1)</x:f>
        <x:v>45474</x:v>
      </x:c>
      <x:c r="N224" s="36" t="str">
        <x:f>IF(I224="","",DATE(YEAR(I224),MONTH(I224),1))</x:f>
      </x:c>
    </x:row>
    <x:row r="225">
      <x:c r="A225" s="16" t="str">
        <x:v>HG-01224</x:v>
      </x:c>
      <x:c r="B225" s="16" t="str">
        <x:v>Asif Akter</x:v>
      </x:c>
      <x:c r="C225" s="16" t="str">
        <x:v>Male</x:v>
      </x:c>
      <x:c r="D225" s="16" t="str">
        <x:v>Quality Assurance</x:v>
      </x:c>
      <x:c r="E225" s="16" t="str">
        <x:v>Assistant Manager - QA</x:v>
      </x:c>
      <x:c r="F225" s="16" t="str">
        <x:v>Narayanganj Plant</x:v>
      </x:c>
      <x:c r="G225" s="16" t="str">
        <x:v>Contract</x:v>
      </x:c>
      <x:c r="H225" s="35" t="n">
        <x:v>43531</x:v>
      </x:c>
      <x:c r="I225" s="35"/>
      <x:c r="J225" s="16" t="str"/>
      <x:c r="K225" s="16" t="str">
        <x:f>IF(I225="","Active","Exited")</x:f>
        <x:v>Active</x:v>
      </x:c>
      <x:c r="L225" s="16" t="n">
        <x:f>(YEAR(IF(I225="",TODAY(),I225))-YEAR(H225))*12+MONTH(IF(I225="",TODAY(),I225))-MONTH(H225)</x:f>
        <x:v>88</x:v>
      </x:c>
      <x:c r="M225" s="36" t="n">
        <x:f>DATE(YEAR(H225),MONTH(H225),1)</x:f>
        <x:v>43525</x:v>
      </x:c>
      <x:c r="N225" s="36" t="str">
        <x:f>IF(I225="","",DATE(YEAR(I225),MONTH(I225),1))</x:f>
      </x:c>
    </x:row>
    <x:row r="226">
      <x:c r="A226" s="16" t="str">
        <x:v>HG-01225</x:v>
      </x:c>
      <x:c r="B226" s="16" t="str">
        <x:v>Sharmin Chowdhury</x:v>
      </x:c>
      <x:c r="C226" s="16" t="str">
        <x:v>Female</x:v>
      </x:c>
      <x:c r="D226" s="16" t="str">
        <x:v>Finance &amp; Accounts</x:v>
      </x:c>
      <x:c r="E226" s="16" t="str">
        <x:v>Accounts Executive</x:v>
      </x:c>
      <x:c r="F226" s="16" t="str">
        <x:v>Dhaka Head Office</x:v>
      </x:c>
      <x:c r="G226" s="16" t="str">
        <x:v>Permanent</x:v>
      </x:c>
      <x:c r="H226" s="35" t="n">
        <x:v>43278</x:v>
      </x:c>
      <x:c r="I226" s="35" t="n">
        <x:v>45804</x:v>
      </x:c>
      <x:c r="J226" s="16" t="str">
        <x:v>Work-Life Balance</x:v>
      </x:c>
      <x:c r="K226" s="16" t="str">
        <x:f>IF(I226="","Active","Exited")</x:f>
        <x:v>Exited</x:v>
      </x:c>
      <x:c r="L226" s="16" t="n">
        <x:f>(YEAR(IF(I226="",TODAY(),I226))-YEAR(H226))*12+MONTH(IF(I226="",TODAY(),I226))-MONTH(H226)</x:f>
        <x:v>83</x:v>
      </x:c>
      <x:c r="M226" s="36" t="n">
        <x:f>DATE(YEAR(H226),MONTH(H226),1)</x:f>
        <x:v>43252</x:v>
      </x:c>
      <x:c r="N226" s="36" t="n">
        <x:f>IF(I226="","",DATE(YEAR(I226),MONTH(I226),1))</x:f>
        <x:v>45778</x:v>
      </x:c>
    </x:row>
    <x:row r="227">
      <x:c r="A227" s="16" t="str">
        <x:v>HG-01226</x:v>
      </x:c>
      <x:c r="B227" s="16" t="str">
        <x:v>Rashed Islam</x:v>
      </x:c>
      <x:c r="C227" s="16" t="str">
        <x:v>Male</x:v>
      </x:c>
      <x:c r="D227" s="16" t="str">
        <x:v>Production</x:v>
      </x:c>
      <x:c r="E227" s="16" t="str">
        <x:v>Production Officer</x:v>
      </x:c>
      <x:c r="F227" s="16" t="str">
        <x:v>Gazipur Plant</x:v>
      </x:c>
      <x:c r="G227" s="16" t="str">
        <x:v>Permanent</x:v>
      </x:c>
      <x:c r="H227" s="35" t="n">
        <x:v>45108</x:v>
      </x:c>
      <x:c r="I227" s="35"/>
      <x:c r="J227" s="16" t="str"/>
      <x:c r="K227" s="16" t="str">
        <x:f>IF(I227="","Active","Exited")</x:f>
        <x:v>Active</x:v>
      </x:c>
      <x:c r="L227" s="16" t="n">
        <x:f>(YEAR(IF(I227="",TODAY(),I227))-YEAR(H227))*12+MONTH(IF(I227="",TODAY(),I227))-MONTH(H227)</x:f>
        <x:v>36</x:v>
      </x:c>
      <x:c r="M227" s="36" t="n">
        <x:f>DATE(YEAR(H227),MONTH(H227),1)</x:f>
        <x:v>45108</x:v>
      </x:c>
      <x:c r="N227" s="36" t="str">
        <x:f>IF(I227="","",DATE(YEAR(I227),MONTH(I227),1))</x:f>
      </x:c>
    </x:row>
    <x:row r="228">
      <x:c r="A228" s="16" t="str">
        <x:v>HG-01227</x:v>
      </x:c>
      <x:c r="B228" s="16" t="str">
        <x:v>Mehedi Kabir</x:v>
      </x:c>
      <x:c r="C228" s="16" t="str">
        <x:v>Male</x:v>
      </x:c>
      <x:c r="D228" s="16" t="str">
        <x:v>Supply Chain</x:v>
      </x:c>
      <x:c r="E228" s="16" t="str">
        <x:v>Inventory Officer</x:v>
      </x:c>
      <x:c r="F228" s="16" t="str">
        <x:v>Gazipur Plant</x:v>
      </x:c>
      <x:c r="G228" s="16" t="str">
        <x:v>Permanent</x:v>
      </x:c>
      <x:c r="H228" s="35" t="n">
        <x:v>45594</x:v>
      </x:c>
      <x:c r="I228" s="35"/>
      <x:c r="J228" s="16" t="str"/>
      <x:c r="K228" s="16" t="str">
        <x:f>IF(I228="","Active","Exited")</x:f>
        <x:v>Active</x:v>
      </x:c>
      <x:c r="L228" s="16" t="n">
        <x:f>(YEAR(IF(I228="",TODAY(),I228))-YEAR(H228))*12+MONTH(IF(I228="",TODAY(),I228))-MONTH(H228)</x:f>
        <x:v>21</x:v>
      </x:c>
      <x:c r="M228" s="36" t="n">
        <x:f>DATE(YEAR(H228),MONTH(H228),1)</x:f>
        <x:v>45566</x:v>
      </x:c>
      <x:c r="N228" s="36" t="str">
        <x:f>IF(I228="","",DATE(YEAR(I228),MONTH(I228),1))</x:f>
      </x:c>
    </x:row>
    <x:row r="229">
      <x:c r="A229" s="16" t="str">
        <x:v>HG-01228</x:v>
      </x:c>
      <x:c r="B229" s="16" t="str">
        <x:v>Nayeem Hossain</x:v>
      </x:c>
      <x:c r="C229" s="16" t="str">
        <x:v>Male</x:v>
      </x:c>
      <x:c r="D229" s="16" t="str">
        <x:v>Quality Assurance</x:v>
      </x:c>
      <x:c r="E229" s="16" t="str">
        <x:v>QA Officer</x:v>
      </x:c>
      <x:c r="F229" s="16" t="str">
        <x:v>Narayanganj Plant</x:v>
      </x:c>
      <x:c r="G229" s="16" t="str">
        <x:v>Permanent</x:v>
      </x:c>
      <x:c r="H229" s="35" t="n">
        <x:v>42839</x:v>
      </x:c>
      <x:c r="I229" s="35"/>
      <x:c r="J229" s="16" t="str"/>
      <x:c r="K229" s="16" t="str">
        <x:f>IF(I229="","Active","Exited")</x:f>
        <x:v>Active</x:v>
      </x:c>
      <x:c r="L229" s="16" t="n">
        <x:f>(YEAR(IF(I229="",TODAY(),I229))-YEAR(H229))*12+MONTH(IF(I229="",TODAY(),I229))-MONTH(H229)</x:f>
        <x:v>111</x:v>
      </x:c>
      <x:c r="M229" s="36" t="n">
        <x:f>DATE(YEAR(H229),MONTH(H229),1)</x:f>
        <x:v>42826</x:v>
      </x:c>
      <x:c r="N229" s="36" t="str">
        <x:f>IF(I229="","",DATE(YEAR(I229),MONTH(I229),1))</x:f>
      </x:c>
    </x:row>
    <x:row r="230">
      <x:c r="A230" s="16" t="str">
        <x:v>HG-01229</x:v>
      </x:c>
      <x:c r="B230" s="16" t="str">
        <x:v>Shakil Sarker</x:v>
      </x:c>
      <x:c r="C230" s="16" t="str">
        <x:v>Male</x:v>
      </x:c>
      <x:c r="D230" s="16" t="str">
        <x:v>Supply Chain</x:v>
      </x:c>
      <x:c r="E230" s="16" t="str">
        <x:v>Senior Supply Chain Executive</x:v>
      </x:c>
      <x:c r="F230" s="16" t="str">
        <x:v>Narayanganj Plant</x:v>
      </x:c>
      <x:c r="G230" s="16" t="str">
        <x:v>Permanent</x:v>
      </x:c>
      <x:c r="H230" s="35" t="n">
        <x:v>43446</x:v>
      </x:c>
      <x:c r="I230" s="35" t="n">
        <x:v>45906</x:v>
      </x:c>
      <x:c r="J230" s="16" t="str">
        <x:v>Supervisor / Management</x:v>
      </x:c>
      <x:c r="K230" s="16" t="str">
        <x:f>IF(I230="","Active","Exited")</x:f>
        <x:v>Exited</x:v>
      </x:c>
      <x:c r="L230" s="16" t="n">
        <x:f>(YEAR(IF(I230="",TODAY(),I230))-YEAR(H230))*12+MONTH(IF(I230="",TODAY(),I230))-MONTH(H230)</x:f>
        <x:v>81</x:v>
      </x:c>
      <x:c r="M230" s="36" t="n">
        <x:f>DATE(YEAR(H230),MONTH(H230),1)</x:f>
        <x:v>43435</x:v>
      </x:c>
      <x:c r="N230" s="36" t="n">
        <x:f>IF(I230="","",DATE(YEAR(I230),MONTH(I230),1))</x:f>
        <x:v>45901</x:v>
      </x:c>
    </x:row>
    <x:row r="231">
      <x:c r="A231" s="16" t="str">
        <x:v>HG-01230</x:v>
      </x:c>
      <x:c r="B231" s="16" t="str">
        <x:v>Tasnim Karim</x:v>
      </x:c>
      <x:c r="C231" s="16" t="str">
        <x:v>Female</x:v>
      </x:c>
      <x:c r="D231" s="16" t="str">
        <x:v>Production</x:v>
      </x:c>
      <x:c r="E231" s="16" t="str">
        <x:v>Production Officer</x:v>
      </x:c>
      <x:c r="F231" s="16" t="str">
        <x:v>Gazipur Plant</x:v>
      </x:c>
      <x:c r="G231" s="16" t="str">
        <x:v>Permanent</x:v>
      </x:c>
      <x:c r="H231" s="35" t="n">
        <x:v>43718</x:v>
      </x:c>
      <x:c r="I231" s="35"/>
      <x:c r="J231" s="16" t="str"/>
      <x:c r="K231" s="16" t="str">
        <x:f>IF(I231="","Active","Exited")</x:f>
        <x:v>Active</x:v>
      </x:c>
      <x:c r="L231" s="16" t="n">
        <x:f>(YEAR(IF(I231="",TODAY(),I231))-YEAR(H231))*12+MONTH(IF(I231="",TODAY(),I231))-MONTH(H231)</x:f>
        <x:v>82</x:v>
      </x:c>
      <x:c r="M231" s="36" t="n">
        <x:f>DATE(YEAR(H231),MONTH(H231),1)</x:f>
        <x:v>43709</x:v>
      </x:c>
      <x:c r="N231" s="36" t="str">
        <x:f>IF(I231="","",DATE(YEAR(I231),MONTH(I231),1))</x:f>
      </x:c>
    </x:row>
    <x:row r="232">
      <x:c r="A232" s="16" t="str">
        <x:v>HG-01231</x:v>
      </x:c>
      <x:c r="B232" s="16" t="str">
        <x:v>Sabbir Begum</x:v>
      </x:c>
      <x:c r="C232" s="16" t="str">
        <x:v>Male</x:v>
      </x:c>
      <x:c r="D232" s="16" t="str">
        <x:v>Quality Assurance</x:v>
      </x:c>
      <x:c r="E232" s="16" t="str">
        <x:v>QA Officer</x:v>
      </x:c>
      <x:c r="F232" s="16" t="str">
        <x:v>Gazipur Plant</x:v>
      </x:c>
      <x:c r="G232" s="16" t="str">
        <x:v>Contract</x:v>
      </x:c>
      <x:c r="H232" s="35" t="n">
        <x:v>45072</x:v>
      </x:c>
      <x:c r="I232" s="35"/>
      <x:c r="J232" s="16" t="str"/>
      <x:c r="K232" s="16" t="str">
        <x:f>IF(I232="","Active","Exited")</x:f>
        <x:v>Active</x:v>
      </x:c>
      <x:c r="L232" s="16" t="n">
        <x:f>(YEAR(IF(I232="",TODAY(),I232))-YEAR(H232))*12+MONTH(IF(I232="",TODAY(),I232))-MONTH(H232)</x:f>
        <x:v>38</x:v>
      </x:c>
      <x:c r="M232" s="36" t="n">
        <x:f>DATE(YEAR(H232),MONTH(H232),1)</x:f>
        <x:v>45047</x:v>
      </x:c>
      <x:c r="N232" s="36" t="str">
        <x:f>IF(I232="","",DATE(YEAR(I232),MONTH(I232),1))</x:f>
      </x:c>
    </x:row>
    <x:row r="233">
      <x:c r="A233" s="16" t="str">
        <x:v>HG-01232</x:v>
      </x:c>
      <x:c r="B233" s="16" t="str">
        <x:v>Arif Kabir</x:v>
      </x:c>
      <x:c r="C233" s="16" t="str">
        <x:v>Male</x:v>
      </x:c>
      <x:c r="D233" s="16" t="str">
        <x:v>Production</x:v>
      </x:c>
      <x:c r="E233" s="16" t="str">
        <x:v>Line Supervisor</x:v>
      </x:c>
      <x:c r="F233" s="16" t="str">
        <x:v>Chattogram Office</x:v>
      </x:c>
      <x:c r="G233" s="16" t="str">
        <x:v>Permanent</x:v>
      </x:c>
      <x:c r="H233" s="35" t="n">
        <x:v>44385</x:v>
      </x:c>
      <x:c r="I233" s="35" t="n">
        <x:v>45674</x:v>
      </x:c>
      <x:c r="J233" s="16" t="str">
        <x:v>Personal / Family</x:v>
      </x:c>
      <x:c r="K233" s="16" t="str">
        <x:f>IF(I233="","Active","Exited")</x:f>
        <x:v>Exited</x:v>
      </x:c>
      <x:c r="L233" s="16" t="n">
        <x:f>(YEAR(IF(I233="",TODAY(),I233))-YEAR(H233))*12+MONTH(IF(I233="",TODAY(),I233))-MONTH(H233)</x:f>
        <x:v>42</x:v>
      </x:c>
      <x:c r="M233" s="36" t="n">
        <x:f>DATE(YEAR(H233),MONTH(H233),1)</x:f>
        <x:v>44378</x:v>
      </x:c>
      <x:c r="N233" s="36" t="n">
        <x:f>IF(I233="","",DATE(YEAR(I233),MONTH(I233),1))</x:f>
        <x:v>45658</x:v>
      </x:c>
    </x:row>
    <x:row r="234">
      <x:c r="A234" s="16" t="str">
        <x:v>HG-01233</x:v>
      </x:c>
      <x:c r="B234" s="16" t="str">
        <x:v>Rafi Hasan</x:v>
      </x:c>
      <x:c r="C234" s="16" t="str">
        <x:v>Male</x:v>
      </x:c>
      <x:c r="D234" s="16" t="str">
        <x:v>Quality Assurance</x:v>
      </x:c>
      <x:c r="E234" s="16" t="str">
        <x:v>Assistant Manager - QA</x:v>
      </x:c>
      <x:c r="F234" s="16" t="str">
        <x:v>Gazipur Plant</x:v>
      </x:c>
      <x:c r="G234" s="16" t="str">
        <x:v>Contract</x:v>
      </x:c>
      <x:c r="H234" s="35" t="n">
        <x:v>43916</x:v>
      </x:c>
      <x:c r="I234" s="35"/>
      <x:c r="J234" s="16" t="str"/>
      <x:c r="K234" s="16" t="str">
        <x:f>IF(I234="","Active","Exited")</x:f>
        <x:v>Active</x:v>
      </x:c>
      <x:c r="L234" s="16" t="n">
        <x:f>(YEAR(IF(I234="",TODAY(),I234))-YEAR(H234))*12+MONTH(IF(I234="",TODAY(),I234))-MONTH(H234)</x:f>
        <x:v>76</x:v>
      </x:c>
      <x:c r="M234" s="36" t="n">
        <x:f>DATE(YEAR(H234),MONTH(H234),1)</x:f>
        <x:v>43891</x:v>
      </x:c>
      <x:c r="N234" s="36" t="str">
        <x:f>IF(I234="","",DATE(YEAR(I234),MONTH(I234),1))</x:f>
      </x:c>
    </x:row>
    <x:row r="235">
      <x:c r="A235" s="16" t="str">
        <x:v>HG-01234</x:v>
      </x:c>
      <x:c r="B235" s="16" t="str">
        <x:v>Tasnim Miah</x:v>
      </x:c>
      <x:c r="C235" s="16" t="str">
        <x:v>Female</x:v>
      </x:c>
      <x:c r="D235" s="16" t="str">
        <x:v>Quality Assurance</x:v>
      </x:c>
      <x:c r="E235" s="16" t="str">
        <x:v>QA Officer</x:v>
      </x:c>
      <x:c r="F235" s="16" t="str">
        <x:v>Gazipur Plant</x:v>
      </x:c>
      <x:c r="G235" s="16" t="str">
        <x:v>Permanent</x:v>
      </x:c>
      <x:c r="H235" s="35" t="n">
        <x:v>43467</x:v>
      </x:c>
      <x:c r="I235" s="35"/>
      <x:c r="J235" s="16" t="str"/>
      <x:c r="K235" s="16" t="str">
        <x:f>IF(I235="","Active","Exited")</x:f>
        <x:v>Active</x:v>
      </x:c>
      <x:c r="L235" s="16" t="n">
        <x:f>(YEAR(IF(I235="",TODAY(),I235))-YEAR(H235))*12+MONTH(IF(I235="",TODAY(),I235))-MONTH(H235)</x:f>
        <x:v>90</x:v>
      </x:c>
      <x:c r="M235" s="36" t="n">
        <x:f>DATE(YEAR(H235),MONTH(H235),1)</x:f>
        <x:v>43466</x:v>
      </x:c>
      <x:c r="N235" s="36" t="str">
        <x:f>IF(I235="","",DATE(YEAR(I235),MONTH(I235),1))</x:f>
      </x:c>
    </x:row>
    <x:row r="236">
      <x:c r="A236" s="16" t="str">
        <x:v>HG-01235</x:v>
      </x:c>
      <x:c r="B236" s="16" t="str">
        <x:v>Mizan Hossain</x:v>
      </x:c>
      <x:c r="C236" s="16" t="str">
        <x:v>Male</x:v>
      </x:c>
      <x:c r="D236" s="16" t="str">
        <x:v>Administration</x:v>
      </x:c>
      <x:c r="E236" s="16" t="str">
        <x:v>Admin Assistant</x:v>
      </x:c>
      <x:c r="F236" s="16" t="str">
        <x:v>Dhaka Head Office</x:v>
      </x:c>
      <x:c r="G236" s="16" t="str">
        <x:v>Permanent</x:v>
      </x:c>
      <x:c r="H236" s="35" t="n">
        <x:v>43451</x:v>
      </x:c>
      <x:c r="I236" s="35" t="n">
        <x:v>46096</x:v>
      </x:c>
      <x:c r="J236" s="16" t="str">
        <x:v>End of Contract</x:v>
      </x:c>
      <x:c r="K236" s="16" t="str">
        <x:f>IF(I236="","Active","Exited")</x:f>
        <x:v>Exited</x:v>
      </x:c>
      <x:c r="L236" s="16" t="n">
        <x:f>(YEAR(IF(I236="",TODAY(),I236))-YEAR(H236))*12+MONTH(IF(I236="",TODAY(),I236))-MONTH(H236)</x:f>
        <x:v>87</x:v>
      </x:c>
      <x:c r="M236" s="36" t="n">
        <x:f>DATE(YEAR(H236),MONTH(H236),1)</x:f>
        <x:v>43435</x:v>
      </x:c>
      <x:c r="N236" s="36" t="n">
        <x:f>IF(I236="","",DATE(YEAR(I236),MONTH(I236),1))</x:f>
        <x:v>46082</x:v>
      </x:c>
    </x:row>
    <x:row r="237">
      <x:c r="A237" s="16" t="str">
        <x:v>HG-01236</x:v>
      </x:c>
      <x:c r="B237" s="16" t="str">
        <x:v>Foysal Khan</x:v>
      </x:c>
      <x:c r="C237" s="16" t="str">
        <x:v>Male</x:v>
      </x:c>
      <x:c r="D237" s="16" t="str">
        <x:v>Finance &amp; Accounts</x:v>
      </x:c>
      <x:c r="E237" s="16" t="str">
        <x:v>Finance Officer</x:v>
      </x:c>
      <x:c r="F237" s="16" t="str">
        <x:v>Narayanganj Plant</x:v>
      </x:c>
      <x:c r="G237" s="16" t="str">
        <x:v>Probation</x:v>
      </x:c>
      <x:c r="H237" s="35" t="n">
        <x:v>42806</x:v>
      </x:c>
      <x:c r="I237" s="35" t="n">
        <x:v>45794</x:v>
      </x:c>
      <x:c r="J237" s="16" t="str">
        <x:v>Supervisor / Management</x:v>
      </x:c>
      <x:c r="K237" s="16" t="str">
        <x:f>IF(I237="","Active","Exited")</x:f>
        <x:v>Exited</x:v>
      </x:c>
      <x:c r="L237" s="16" t="n">
        <x:f>(YEAR(IF(I237="",TODAY(),I237))-YEAR(H237))*12+MONTH(IF(I237="",TODAY(),I237))-MONTH(H237)</x:f>
        <x:v>98</x:v>
      </x:c>
      <x:c r="M237" s="36" t="n">
        <x:f>DATE(YEAR(H237),MONTH(H237),1)</x:f>
        <x:v>42795</x:v>
      </x:c>
      <x:c r="N237" s="36" t="n">
        <x:f>IF(I237="","",DATE(YEAR(I237),MONTH(I237),1))</x:f>
        <x:v>45778</x:v>
      </x:c>
    </x:row>
    <x:row r="238">
      <x:c r="A238" s="16" t="str">
        <x:v>HG-01237</x:v>
      </x:c>
      <x:c r="B238" s="16" t="str">
        <x:v>Nayeem Ahmed</x:v>
      </x:c>
      <x:c r="C238" s="16" t="str">
        <x:v>Male</x:v>
      </x:c>
      <x:c r="D238" s="16" t="str">
        <x:v>Finance &amp; Accounts</x:v>
      </x:c>
      <x:c r="E238" s="16" t="str">
        <x:v>Assistant Manager - Finance</x:v>
      </x:c>
      <x:c r="F238" s="16" t="str">
        <x:v>Dhaka Head Office</x:v>
      </x:c>
      <x:c r="G238" s="16" t="str">
        <x:v>Permanent</x:v>
      </x:c>
      <x:c r="H238" s="35" t="n">
        <x:v>45105</x:v>
      </x:c>
      <x:c r="I238" s="35"/>
      <x:c r="J238" s="16" t="str"/>
      <x:c r="K238" s="16" t="str">
        <x:f>IF(I238="","Active","Exited")</x:f>
        <x:v>Active</x:v>
      </x:c>
      <x:c r="L238" s="16" t="n">
        <x:f>(YEAR(IF(I238="",TODAY(),I238))-YEAR(H238))*12+MONTH(IF(I238="",TODAY(),I238))-MONTH(H238)</x:f>
        <x:v>37</x:v>
      </x:c>
      <x:c r="M238" s="36" t="n">
        <x:f>DATE(YEAR(H238),MONTH(H238),1)</x:f>
        <x:v>45078</x:v>
      </x:c>
      <x:c r="N238" s="36" t="str">
        <x:f>IF(I238="","",DATE(YEAR(I238),MONTH(I238),1))</x:f>
      </x:c>
    </x:row>
    <x:row r="239">
      <x:c r="A239" s="16" t="str">
        <x:v>HG-01238</x:v>
      </x:c>
      <x:c r="B239" s="16" t="str">
        <x:v>Fahim Begum</x:v>
      </x:c>
      <x:c r="C239" s="16" t="str">
        <x:v>Male</x:v>
      </x:c>
      <x:c r="D239" s="16" t="str">
        <x:v>Supply Chain</x:v>
      </x:c>
      <x:c r="E239" s="16" t="str">
        <x:v>Logistics Executive</x:v>
      </x:c>
      <x:c r="F239" s="16" t="str">
        <x:v>Narayanganj Plant</x:v>
      </x:c>
      <x:c r="G239" s="16" t="str">
        <x:v>Permanent</x:v>
      </x:c>
      <x:c r="H239" s="35" t="n">
        <x:v>44116</x:v>
      </x:c>
      <x:c r="I239" s="35"/>
      <x:c r="J239" s="16" t="str"/>
      <x:c r="K239" s="16" t="str">
        <x:f>IF(I239="","Active","Exited")</x:f>
        <x:v>Active</x:v>
      </x:c>
      <x:c r="L239" s="16" t="n">
        <x:f>(YEAR(IF(I239="",TODAY(),I239))-YEAR(H239))*12+MONTH(IF(I239="",TODAY(),I239))-MONTH(H239)</x:f>
        <x:v>69</x:v>
      </x:c>
      <x:c r="M239" s="36" t="n">
        <x:f>DATE(YEAR(H239),MONTH(H239),1)</x:f>
        <x:v>44105</x:v>
      </x:c>
      <x:c r="N239" s="36" t="str">
        <x:f>IF(I239="","",DATE(YEAR(I239),MONTH(I239),1))</x:f>
      </x:c>
    </x:row>
    <x:row r="240">
      <x:c r="A240" s="16" t="str">
        <x:v>HG-01239</x:v>
      </x:c>
      <x:c r="B240" s="16" t="str">
        <x:v>Sajid Kabir</x:v>
      </x:c>
      <x:c r="C240" s="16" t="str">
        <x:v>Male</x:v>
      </x:c>
      <x:c r="D240" s="16" t="str">
        <x:v>Information Technology</x:v>
      </x:c>
      <x:c r="E240" s="16" t="str">
        <x:v>IT Support Executive</x:v>
      </x:c>
      <x:c r="F240" s="16" t="str">
        <x:v>Dhaka Head Office</x:v>
      </x:c>
      <x:c r="G240" s="16" t="str">
        <x:v>Permanent</x:v>
      </x:c>
      <x:c r="H240" s="35" t="n">
        <x:v>43976</x:v>
      </x:c>
      <x:c r="I240" s="35"/>
      <x:c r="J240" s="16" t="str"/>
      <x:c r="K240" s="16" t="str">
        <x:f>IF(I240="","Active","Exited")</x:f>
        <x:v>Active</x:v>
      </x:c>
      <x:c r="L240" s="16" t="n">
        <x:f>(YEAR(IF(I240="",TODAY(),I240))-YEAR(H240))*12+MONTH(IF(I240="",TODAY(),I240))-MONTH(H240)</x:f>
        <x:v>74</x:v>
      </x:c>
      <x:c r="M240" s="36" t="n">
        <x:f>DATE(YEAR(H240),MONTH(H240),1)</x:f>
        <x:v>43952</x:v>
      </x:c>
      <x:c r="N240" s="36" t="str">
        <x:f>IF(I240="","",DATE(YEAR(I240),MONTH(I240),1))</x:f>
      </x:c>
    </x:row>
    <x:row r="241">
      <x:c r="A241" s="16" t="str">
        <x:v>HG-01240</x:v>
      </x:c>
      <x:c r="B241" s="16" t="str">
        <x:v>Hasan Ahmed</x:v>
      </x:c>
      <x:c r="C241" s="16" t="str">
        <x:v>Male</x:v>
      </x:c>
      <x:c r="D241" s="16" t="str">
        <x:v>Sales &amp; Marketing</x:v>
      </x:c>
      <x:c r="E241" s="16" t="str">
        <x:v>Territory Officer</x:v>
      </x:c>
      <x:c r="F241" s="16" t="str">
        <x:v>Dhaka Head Office</x:v>
      </x:c>
      <x:c r="G241" s="16" t="str">
        <x:v>Permanent</x:v>
      </x:c>
      <x:c r="H241" s="35" t="n">
        <x:v>42794</x:v>
      </x:c>
      <x:c r="I241" s="35" t="n">
        <x:v>46027</x:v>
      </x:c>
      <x:c r="J241" s="16" t="str">
        <x:v>Performance</x:v>
      </x:c>
      <x:c r="K241" s="16" t="str">
        <x:f>IF(I241="","Active","Exited")</x:f>
        <x:v>Exited</x:v>
      </x:c>
      <x:c r="L241" s="16" t="n">
        <x:f>(YEAR(IF(I241="",TODAY(),I241))-YEAR(H241))*12+MONTH(IF(I241="",TODAY(),I241))-MONTH(H241)</x:f>
        <x:v>107</x:v>
      </x:c>
      <x:c r="M241" s="36" t="n">
        <x:f>DATE(YEAR(H241),MONTH(H241),1)</x:f>
        <x:v>42767</x:v>
      </x:c>
      <x:c r="N241" s="36" t="n">
        <x:f>IF(I241="","",DATE(YEAR(I241),MONTH(I241),1))</x:f>
        <x:v>46023</x:v>
      </x:c>
    </x:row>
    <x:row r="242">
      <x:c r="A242" s="16" t="str">
        <x:v>HG-01241</x:v>
      </x:c>
      <x:c r="B242" s="16" t="str">
        <x:v>Mim Begum</x:v>
      </x:c>
      <x:c r="C242" s="16" t="str">
        <x:v>Female</x:v>
      </x:c>
      <x:c r="D242" s="16" t="str">
        <x:v>Human Resources</x:v>
      </x:c>
      <x:c r="E242" s="16" t="str">
        <x:v>HR Assistant</x:v>
      </x:c>
      <x:c r="F242" s="16" t="str">
        <x:v>Dhaka Head Office</x:v>
      </x:c>
      <x:c r="G242" s="16" t="str">
        <x:v>Permanent</x:v>
      </x:c>
      <x:c r="H242" s="35" t="n">
        <x:v>43702</x:v>
      </x:c>
      <x:c r="I242" s="35"/>
      <x:c r="J242" s="16" t="str"/>
      <x:c r="K242" s="16" t="str">
        <x:f>IF(I242="","Active","Exited")</x:f>
        <x:v>Active</x:v>
      </x:c>
      <x:c r="L242" s="16" t="n">
        <x:f>(YEAR(IF(I242="",TODAY(),I242))-YEAR(H242))*12+MONTH(IF(I242="",TODAY(),I242))-MONTH(H242)</x:f>
        <x:v>83</x:v>
      </x:c>
      <x:c r="M242" s="36" t="n">
        <x:f>DATE(YEAR(H242),MONTH(H242),1)</x:f>
        <x:v>43678</x:v>
      </x:c>
      <x:c r="N242" s="36" t="str">
        <x:f>IF(I242="","",DATE(YEAR(I242),MONTH(I242),1))</x:f>
      </x:c>
    </x:row>
    <x:row r="243">
      <x:c r="A243" s="16" t="str">
        <x:v>HG-01242</x:v>
      </x:c>
      <x:c r="B243" s="16" t="str">
        <x:v>Sadika Khan</x:v>
      </x:c>
      <x:c r="C243" s="16" t="str">
        <x:v>Female</x:v>
      </x:c>
      <x:c r="D243" s="16" t="str">
        <x:v>Sales &amp; Marketing</x:v>
      </x:c>
      <x:c r="E243" s="16" t="str">
        <x:v>Assistant Manager - Sales</x:v>
      </x:c>
      <x:c r="F243" s="16" t="str">
        <x:v>Dhaka Head Office</x:v>
      </x:c>
      <x:c r="G243" s="16" t="str">
        <x:v>Contract</x:v>
      </x:c>
      <x:c r="H243" s="35" t="n">
        <x:v>44991</x:v>
      </x:c>
      <x:c r="I243" s="35"/>
      <x:c r="J243" s="16" t="str"/>
      <x:c r="K243" s="16" t="str">
        <x:f>IF(I243="","Active","Exited")</x:f>
        <x:v>Active</x:v>
      </x:c>
      <x:c r="L243" s="16" t="n">
        <x:f>(YEAR(IF(I243="",TODAY(),I243))-YEAR(H243))*12+MONTH(IF(I243="",TODAY(),I243))-MONTH(H243)</x:f>
        <x:v>40</x:v>
      </x:c>
      <x:c r="M243" s="36" t="n">
        <x:f>DATE(YEAR(H243),MONTH(H243),1)</x:f>
        <x:v>44986</x:v>
      </x:c>
      <x:c r="N243" s="36" t="str">
        <x:f>IF(I243="","",DATE(YEAR(I243),MONTH(I243),1))</x:f>
      </x:c>
    </x:row>
    <x:row r="244">
      <x:c r="A244" s="16" t="str">
        <x:v>HG-01243</x:v>
      </x:c>
      <x:c r="B244" s="16" t="str">
        <x:v>Farhan Hossain</x:v>
      </x:c>
      <x:c r="C244" s="16" t="str">
        <x:v>Male</x:v>
      </x:c>
      <x:c r="D244" s="16" t="str">
        <x:v>Production</x:v>
      </x:c>
      <x:c r="E244" s="16" t="str">
        <x:v>Line Supervisor</x:v>
      </x:c>
      <x:c r="F244" s="16" t="str">
        <x:v>Narayanganj Plant</x:v>
      </x:c>
      <x:c r="G244" s="16" t="str">
        <x:v>Permanent</x:v>
      </x:c>
      <x:c r="H244" s="35" t="n">
        <x:v>44316</x:v>
      </x:c>
      <x:c r="I244" s="35" t="n">
        <x:v>46100</x:v>
      </x:c>
      <x:c r="J244" s="16" t="str">
        <x:v>Performance</x:v>
      </x:c>
      <x:c r="K244" s="16" t="str">
        <x:f>IF(I244="","Active","Exited")</x:f>
        <x:v>Exited</x:v>
      </x:c>
      <x:c r="L244" s="16" t="n">
        <x:f>(YEAR(IF(I244="",TODAY(),I244))-YEAR(H244))*12+MONTH(IF(I244="",TODAY(),I244))-MONTH(H244)</x:f>
        <x:v>59</x:v>
      </x:c>
      <x:c r="M244" s="36" t="n">
        <x:f>DATE(YEAR(H244),MONTH(H244),1)</x:f>
        <x:v>44287</x:v>
      </x:c>
      <x:c r="N244" s="36" t="n">
        <x:f>IF(I244="","",DATE(YEAR(I244),MONTH(I244),1))</x:f>
        <x:v>46082</x:v>
      </x:c>
    </x:row>
    <x:row r="245">
      <x:c r="A245" s="16" t="str">
        <x:v>HG-01244</x:v>
      </x:c>
      <x:c r="B245" s="16" t="str">
        <x:v>Mehedi Rahman</x:v>
      </x:c>
      <x:c r="C245" s="16" t="str">
        <x:v>Male</x:v>
      </x:c>
      <x:c r="D245" s="16" t="str">
        <x:v>Quality Assurance</x:v>
      </x:c>
      <x:c r="E245" s="16" t="str">
        <x:v>Assistant Manager - QA</x:v>
      </x:c>
      <x:c r="F245" s="16" t="str">
        <x:v>Narayanganj Plant</x:v>
      </x:c>
      <x:c r="G245" s="16" t="str">
        <x:v>Permanent</x:v>
      </x:c>
      <x:c r="H245" s="35" t="n">
        <x:v>43655</x:v>
      </x:c>
      <x:c r="I245" s="35" t="n">
        <x:v>45691</x:v>
      </x:c>
      <x:c r="J245" s="16" t="str">
        <x:v>Career Growth</x:v>
      </x:c>
      <x:c r="K245" s="16" t="str">
        <x:f>IF(I245="","Active","Exited")</x:f>
        <x:v>Exited</x:v>
      </x:c>
      <x:c r="L245" s="16" t="n">
        <x:f>(YEAR(IF(I245="",TODAY(),I245))-YEAR(H245))*12+MONTH(IF(I245="",TODAY(),I245))-MONTH(H245)</x:f>
        <x:v>67</x:v>
      </x:c>
      <x:c r="M245" s="36" t="n">
        <x:f>DATE(YEAR(H245),MONTH(H245),1)</x:f>
        <x:v>43647</x:v>
      </x:c>
      <x:c r="N245" s="36" t="n">
        <x:f>IF(I245="","",DATE(YEAR(I245),MONTH(I245),1))</x:f>
        <x:v>45689</x:v>
      </x:c>
    </x:row>
    <x:row r="246">
      <x:c r="A246" s="16" t="str">
        <x:v>HG-01245</x:v>
      </x:c>
      <x:c r="B246" s="16" t="str">
        <x:v>Hasan Chowdhury</x:v>
      </x:c>
      <x:c r="C246" s="16" t="str">
        <x:v>Male</x:v>
      </x:c>
      <x:c r="D246" s="16" t="str">
        <x:v>Administration</x:v>
      </x:c>
      <x:c r="E246" s="16" t="str">
        <x:v>Assistant Manager - Admin</x:v>
      </x:c>
      <x:c r="F246" s="16" t="str">
        <x:v>Dhaka Head Office</x:v>
      </x:c>
      <x:c r="G246" s="16" t="str">
        <x:v>Permanent</x:v>
      </x:c>
      <x:c r="H246" s="35" t="n">
        <x:v>42914</x:v>
      </x:c>
      <x:c r="I246" s="35" t="n">
        <x:v>46145</x:v>
      </x:c>
      <x:c r="J246" s="16" t="str">
        <x:v>Retirement</x:v>
      </x:c>
      <x:c r="K246" s="16" t="str">
        <x:f>IF(I246="","Active","Exited")</x:f>
        <x:v>Exited</x:v>
      </x:c>
      <x:c r="L246" s="16" t="n">
        <x:f>(YEAR(IF(I246="",TODAY(),I246))-YEAR(H246))*12+MONTH(IF(I246="",TODAY(),I246))-MONTH(H246)</x:f>
        <x:v>107</x:v>
      </x:c>
      <x:c r="M246" s="36" t="n">
        <x:f>DATE(YEAR(H246),MONTH(H246),1)</x:f>
        <x:v>42887</x:v>
      </x:c>
      <x:c r="N246" s="36" t="n">
        <x:f>IF(I246="","",DATE(YEAR(I246),MONTH(I246),1))</x:f>
        <x:v>46143</x:v>
      </x:c>
    </x:row>
    <x:row r="247">
      <x:c r="A247" s="16" t="str">
        <x:v>HG-01246</x:v>
      </x:c>
      <x:c r="B247" s="16" t="str">
        <x:v>Mahmud Kabir</x:v>
      </x:c>
      <x:c r="C247" s="16" t="str">
        <x:v>Male</x:v>
      </x:c>
      <x:c r="D247" s="16" t="str">
        <x:v>Production</x:v>
      </x:c>
      <x:c r="E247" s="16" t="str">
        <x:v>Line Supervisor</x:v>
      </x:c>
      <x:c r="F247" s="16" t="str">
        <x:v>Narayanganj Plant</x:v>
      </x:c>
      <x:c r="G247" s="16" t="str">
        <x:v>Permanent</x:v>
      </x:c>
      <x:c r="H247" s="35" t="n">
        <x:v>43941</x:v>
      </x:c>
      <x:c r="I247" s="35" t="n">
        <x:v>45731</x:v>
      </x:c>
      <x:c r="J247" s="16" t="str">
        <x:v>Retirement</x:v>
      </x:c>
      <x:c r="K247" s="16" t="str">
        <x:f>IF(I247="","Active","Exited")</x:f>
        <x:v>Exited</x:v>
      </x:c>
      <x:c r="L247" s="16" t="n">
        <x:f>(YEAR(IF(I247="",TODAY(),I247))-YEAR(H247))*12+MONTH(IF(I247="",TODAY(),I247))-MONTH(H247)</x:f>
        <x:v>59</x:v>
      </x:c>
      <x:c r="M247" s="36" t="n">
        <x:f>DATE(YEAR(H247),MONTH(H247),1)</x:f>
        <x:v>43922</x:v>
      </x:c>
      <x:c r="N247" s="36" t="n">
        <x:f>IF(I247="","",DATE(YEAR(I247),MONTH(I247),1))</x:f>
        <x:v>45717</x:v>
      </x:c>
    </x:row>
    <x:row r="248">
      <x:c r="A248" s="16" t="str">
        <x:v>HG-01247</x:v>
      </x:c>
      <x:c r="B248" s="16" t="str">
        <x:v>Tanvir Uddin</x:v>
      </x:c>
      <x:c r="C248" s="16" t="str">
        <x:v>Male</x:v>
      </x:c>
      <x:c r="D248" s="16" t="str">
        <x:v>Production</x:v>
      </x:c>
      <x:c r="E248" s="16" t="str">
        <x:v>Senior Operator</x:v>
      </x:c>
      <x:c r="F248" s="16" t="str">
        <x:v>Gazipur Plant</x:v>
      </x:c>
      <x:c r="G248" s="16" t="str">
        <x:v>Permanent</x:v>
      </x:c>
      <x:c r="H248" s="35" t="n">
        <x:v>43764</x:v>
      </x:c>
      <x:c r="I248" s="35" t="n">
        <x:v>45914</x:v>
      </x:c>
      <x:c r="J248" s="16" t="str">
        <x:v>Better Opportunity</x:v>
      </x:c>
      <x:c r="K248" s="16" t="str">
        <x:f>IF(I248="","Active","Exited")</x:f>
        <x:v>Exited</x:v>
      </x:c>
      <x:c r="L248" s="16" t="n">
        <x:f>(YEAR(IF(I248="",TODAY(),I248))-YEAR(H248))*12+MONTH(IF(I248="",TODAY(),I248))-MONTH(H248)</x:f>
        <x:v>71</x:v>
      </x:c>
      <x:c r="M248" s="36" t="n">
        <x:f>DATE(YEAR(H248),MONTH(H248),1)</x:f>
        <x:v>43739</x:v>
      </x:c>
      <x:c r="N248" s="36" t="n">
        <x:f>IF(I248="","",DATE(YEAR(I248),MONTH(I248),1))</x:f>
        <x:v>45901</x:v>
      </x:c>
    </x:row>
    <x:row r="249">
      <x:c r="A249" s="16" t="str">
        <x:v>HG-01248</x:v>
      </x:c>
      <x:c r="B249" s="16" t="str">
        <x:v>Arif Khan</x:v>
      </x:c>
      <x:c r="C249" s="16" t="str">
        <x:v>Male</x:v>
      </x:c>
      <x:c r="D249" s="16" t="str">
        <x:v>Production</x:v>
      </x:c>
      <x:c r="E249" s="16" t="str">
        <x:v>Assistant Manager - Production</x:v>
      </x:c>
      <x:c r="F249" s="16" t="str">
        <x:v>Gazipur Plant</x:v>
      </x:c>
      <x:c r="G249" s="16" t="str">
        <x:v>Permanent</x:v>
      </x:c>
      <x:c r="H249" s="35" t="n">
        <x:v>45070</x:v>
      </x:c>
      <x:c r="I249" s="35" t="n">
        <x:v>46046</x:v>
      </x:c>
      <x:c r="J249" s="16" t="str">
        <x:v>Compensation &amp; Benefits</x:v>
      </x:c>
      <x:c r="K249" s="16" t="str">
        <x:f>IF(I249="","Active","Exited")</x:f>
        <x:v>Exited</x:v>
      </x:c>
      <x:c r="L249" s="16" t="n">
        <x:f>(YEAR(IF(I249="",TODAY(),I249))-YEAR(H249))*12+MONTH(IF(I249="",TODAY(),I249))-MONTH(H249)</x:f>
        <x:v>32</x:v>
      </x:c>
      <x:c r="M249" s="36" t="n">
        <x:f>DATE(YEAR(H249),MONTH(H249),1)</x:f>
        <x:v>45047</x:v>
      </x:c>
      <x:c r="N249" s="36" t="n">
        <x:f>IF(I249="","",DATE(YEAR(I249),MONTH(I249),1))</x:f>
        <x:v>46023</x:v>
      </x:c>
    </x:row>
    <x:row r="250">
      <x:c r="A250" s="16" t="str">
        <x:v>HG-01249</x:v>
      </x:c>
      <x:c r="B250" s="16" t="str">
        <x:v>Hasan Ahmed</x:v>
      </x:c>
      <x:c r="C250" s="16" t="str">
        <x:v>Male</x:v>
      </x:c>
      <x:c r="D250" s="16" t="str">
        <x:v>Production</x:v>
      </x:c>
      <x:c r="E250" s="16" t="str">
        <x:v>Production Operator</x:v>
      </x:c>
      <x:c r="F250" s="16" t="str">
        <x:v>Gazipur Plant</x:v>
      </x:c>
      <x:c r="G250" s="16" t="str">
        <x:v>Permanent</x:v>
      </x:c>
      <x:c r="H250" s="35" t="n">
        <x:v>45382</x:v>
      </x:c>
      <x:c r="I250" s="35"/>
      <x:c r="J250" s="16" t="str"/>
      <x:c r="K250" s="16" t="str">
        <x:f>IF(I250="","Active","Exited")</x:f>
        <x:v>Active</x:v>
      </x:c>
      <x:c r="L250" s="16" t="n">
        <x:f>(YEAR(IF(I250="",TODAY(),I250))-YEAR(H250))*12+MONTH(IF(I250="",TODAY(),I250))-MONTH(H250)</x:f>
        <x:v>28</x:v>
      </x:c>
      <x:c r="M250" s="36" t="n">
        <x:f>DATE(YEAR(H250),MONTH(H250),1)</x:f>
        <x:v>45352</x:v>
      </x:c>
      <x:c r="N250" s="36" t="str">
        <x:f>IF(I250="","",DATE(YEAR(I250),MONTH(I250),1))</x:f>
      </x:c>
    </x:row>
    <x:row r="251">
      <x:c r="A251" s="16" t="str">
        <x:v>HG-01250</x:v>
      </x:c>
      <x:c r="B251" s="16" t="str">
        <x:v>Nayeem Rahman</x:v>
      </x:c>
      <x:c r="C251" s="16" t="str">
        <x:v>Male</x:v>
      </x:c>
      <x:c r="D251" s="16" t="str">
        <x:v>Production</x:v>
      </x:c>
      <x:c r="E251" s="16" t="str">
        <x:v>Production Operator</x:v>
      </x:c>
      <x:c r="F251" s="16" t="str">
        <x:v>Gazipur Plant</x:v>
      </x:c>
      <x:c r="G251" s="16" t="str">
        <x:v>Permanent</x:v>
      </x:c>
      <x:c r="H251" s="35" t="n">
        <x:v>43704</x:v>
      </x:c>
      <x:c r="I251" s="35"/>
      <x:c r="J251" s="16" t="str"/>
      <x:c r="K251" s="16" t="str">
        <x:f>IF(I251="","Active","Exited")</x:f>
        <x:v>Active</x:v>
      </x:c>
      <x:c r="L251" s="16" t="n">
        <x:f>(YEAR(IF(I251="",TODAY(),I251))-YEAR(H251))*12+MONTH(IF(I251="",TODAY(),I251))-MONTH(H251)</x:f>
        <x:v>83</x:v>
      </x:c>
      <x:c r="M251" s="36" t="n">
        <x:f>DATE(YEAR(H251),MONTH(H251),1)</x:f>
        <x:v>43678</x:v>
      </x:c>
      <x:c r="N251" s="36" t="str">
        <x:f>IF(I251="","",DATE(YEAR(I251),MONTH(I251),1))</x:f>
      </x:c>
    </x:row>
    <x:row r="252">
      <x:c r="A252" s="16" t="str">
        <x:v>HG-01251</x:v>
      </x:c>
      <x:c r="B252" s="16" t="str">
        <x:v>Nabila Khan</x:v>
      </x:c>
      <x:c r="C252" s="16" t="str">
        <x:v>Female</x:v>
      </x:c>
      <x:c r="D252" s="16" t="str">
        <x:v>Finance &amp; Accounts</x:v>
      </x:c>
      <x:c r="E252" s="16" t="str">
        <x:v>Finance Officer</x:v>
      </x:c>
      <x:c r="F252" s="16" t="str">
        <x:v>Chattogram Office</x:v>
      </x:c>
      <x:c r="G252" s="16" t="str">
        <x:v>Permanent</x:v>
      </x:c>
      <x:c r="H252" s="35" t="n">
        <x:v>45469</x:v>
      </x:c>
      <x:c r="I252" s="35"/>
      <x:c r="J252" s="16" t="str"/>
      <x:c r="K252" s="16" t="str">
        <x:f>IF(I252="","Active","Exited")</x:f>
        <x:v>Active</x:v>
      </x:c>
      <x:c r="L252" s="16" t="n">
        <x:f>(YEAR(IF(I252="",TODAY(),I252))-YEAR(H252))*12+MONTH(IF(I252="",TODAY(),I252))-MONTH(H252)</x:f>
        <x:v>25</x:v>
      </x:c>
      <x:c r="M252" s="36" t="n">
        <x:f>DATE(YEAR(H252),MONTH(H252),1)</x:f>
        <x:v>45444</x:v>
      </x:c>
      <x:c r="N252" s="36" t="str">
        <x:f>IF(I252="","",DATE(YEAR(I252),MONTH(I252),1))</x:f>
      </x:c>
    </x:row>
    <x:row r="253">
      <x:c r="A253" s="16" t="str">
        <x:v>HG-01252</x:v>
      </x:c>
      <x:c r="B253" s="16" t="str">
        <x:v>Mahmud Kabir</x:v>
      </x:c>
      <x:c r="C253" s="16" t="str">
        <x:v>Male</x:v>
      </x:c>
      <x:c r="D253" s="16" t="str">
        <x:v>Administration</x:v>
      </x:c>
      <x:c r="E253" s="16" t="str">
        <x:v>Senior Admin Executive</x:v>
      </x:c>
      <x:c r="F253" s="16" t="str">
        <x:v>Dhaka Head Office</x:v>
      </x:c>
      <x:c r="G253" s="16" t="str">
        <x:v>Permanent</x:v>
      </x:c>
      <x:c r="H253" s="35" t="n">
        <x:v>45244</x:v>
      </x:c>
      <x:c r="I253" s="35"/>
      <x:c r="J253" s="16" t="str"/>
      <x:c r="K253" s="16" t="str">
        <x:f>IF(I253="","Active","Exited")</x:f>
        <x:v>Active</x:v>
      </x:c>
      <x:c r="L253" s="16" t="n">
        <x:f>(YEAR(IF(I253="",TODAY(),I253))-YEAR(H253))*12+MONTH(IF(I253="",TODAY(),I253))-MONTH(H253)</x:f>
        <x:v>32</x:v>
      </x:c>
      <x:c r="M253" s="36" t="n">
        <x:f>DATE(YEAR(H253),MONTH(H253),1)</x:f>
        <x:v>45231</x:v>
      </x:c>
      <x:c r="N253" s="36" t="str">
        <x:f>IF(I253="","",DATE(YEAR(I253),MONTH(I253),1))</x:f>
      </x:c>
    </x:row>
    <x:row r="254">
      <x:c r="A254" s="16" t="str">
        <x:v>HG-01253</x:v>
      </x:c>
      <x:c r="B254" s="16" t="str">
        <x:v>Mehedi Begum</x:v>
      </x:c>
      <x:c r="C254" s="16" t="str">
        <x:v>Male</x:v>
      </x:c>
      <x:c r="D254" s="16" t="str">
        <x:v>Quality Assurance</x:v>
      </x:c>
      <x:c r="E254" s="16" t="str">
        <x:v>Quality Inspector</x:v>
      </x:c>
      <x:c r="F254" s="16" t="str">
        <x:v>Gazipur Plant</x:v>
      </x:c>
      <x:c r="G254" s="16" t="str">
        <x:v>Permanent</x:v>
      </x:c>
      <x:c r="H254" s="35" t="n">
        <x:v>43404</x:v>
      </x:c>
      <x:c r="I254" s="35" t="n">
        <x:v>46087</x:v>
      </x:c>
      <x:c r="J254" s="16" t="str">
        <x:v>Work-Life Balance</x:v>
      </x:c>
      <x:c r="K254" s="16" t="str">
        <x:f>IF(I254="","Active","Exited")</x:f>
        <x:v>Exited</x:v>
      </x:c>
      <x:c r="L254" s="16" t="n">
        <x:f>(YEAR(IF(I254="",TODAY(),I254))-YEAR(H254))*12+MONTH(IF(I254="",TODAY(),I254))-MONTH(H254)</x:f>
        <x:v>89</x:v>
      </x:c>
      <x:c r="M254" s="36" t="n">
        <x:f>DATE(YEAR(H254),MONTH(H254),1)</x:f>
        <x:v>43374</x:v>
      </x:c>
      <x:c r="N254" s="36" t="n">
        <x:f>IF(I254="","",DATE(YEAR(I254),MONTH(I254),1))</x:f>
        <x:v>46082</x:v>
      </x:c>
    </x:row>
    <x:row r="255">
      <x:c r="A255" s="16" t="str">
        <x:v>HG-01254</x:v>
      </x:c>
      <x:c r="B255" s="16" t="str">
        <x:v>Nayeem Sarker</x:v>
      </x:c>
      <x:c r="C255" s="16" t="str">
        <x:v>Male</x:v>
      </x:c>
      <x:c r="D255" s="16" t="str">
        <x:v>Production</x:v>
      </x:c>
      <x:c r="E255" s="16" t="str">
        <x:v>Production Operator</x:v>
      </x:c>
      <x:c r="F255" s="16" t="str">
        <x:v>Narayanganj Plant</x:v>
      </x:c>
      <x:c r="G255" s="16" t="str">
        <x:v>Permanent</x:v>
      </x:c>
      <x:c r="H255" s="35" t="n">
        <x:v>43903</x:v>
      </x:c>
      <x:c r="I255" s="35" t="n">
        <x:v>46079</x:v>
      </x:c>
      <x:c r="J255" s="16" t="str">
        <x:v>Supervisor / Management</x:v>
      </x:c>
      <x:c r="K255" s="16" t="str">
        <x:f>IF(I255="","Active","Exited")</x:f>
        <x:v>Exited</x:v>
      </x:c>
      <x:c r="L255" s="16" t="n">
        <x:f>(YEAR(IF(I255="",TODAY(),I255))-YEAR(H255))*12+MONTH(IF(I255="",TODAY(),I255))-MONTH(H255)</x:f>
        <x:v>71</x:v>
      </x:c>
      <x:c r="M255" s="36" t="n">
        <x:f>DATE(YEAR(H255),MONTH(H255),1)</x:f>
        <x:v>43891</x:v>
      </x:c>
      <x:c r="N255" s="36" t="n">
        <x:f>IF(I255="","",DATE(YEAR(I255),MONTH(I255),1))</x:f>
        <x:v>46054</x:v>
      </x:c>
    </x:row>
    <x:row r="256">
      <x:c r="A256" s="16" t="str">
        <x:v>HG-01255</x:v>
      </x:c>
      <x:c r="B256" s="16" t="str">
        <x:v>Tanvir Begum</x:v>
      </x:c>
      <x:c r="C256" s="16" t="str">
        <x:v>Male</x:v>
      </x:c>
      <x:c r="D256" s="16" t="str">
        <x:v>Information Technology</x:v>
      </x:c>
      <x:c r="E256" s="16" t="str">
        <x:v>System Administrator</x:v>
      </x:c>
      <x:c r="F256" s="16" t="str">
        <x:v>Dhaka Head Office</x:v>
      </x:c>
      <x:c r="G256" s="16" t="str">
        <x:v>Contract</x:v>
      </x:c>
      <x:c r="H256" s="35" t="n">
        <x:v>45044</x:v>
      </x:c>
      <x:c r="I256" s="35"/>
      <x:c r="J256" s="16" t="str"/>
      <x:c r="K256" s="16" t="str">
        <x:f>IF(I256="","Active","Exited")</x:f>
        <x:v>Active</x:v>
      </x:c>
      <x:c r="L256" s="16" t="n">
        <x:f>(YEAR(IF(I256="",TODAY(),I256))-YEAR(H256))*12+MONTH(IF(I256="",TODAY(),I256))-MONTH(H256)</x:f>
        <x:v>39</x:v>
      </x:c>
      <x:c r="M256" s="36" t="n">
        <x:f>DATE(YEAR(H256),MONTH(H256),1)</x:f>
        <x:v>45017</x:v>
      </x:c>
      <x:c r="N256" s="36" t="str">
        <x:f>IF(I256="","",DATE(YEAR(I256),MONTH(I256),1))</x:f>
      </x:c>
    </x:row>
    <x:row r="257">
      <x:c r="A257" s="16" t="str">
        <x:v>HG-01256</x:v>
      </x:c>
      <x:c r="B257" s="16" t="str">
        <x:v>Foysal Islam</x:v>
      </x:c>
      <x:c r="C257" s="16" t="str">
        <x:v>Male</x:v>
      </x:c>
      <x:c r="D257" s="16" t="str">
        <x:v>Production</x:v>
      </x:c>
      <x:c r="E257" s="16" t="str">
        <x:v>Assistant Manager - Production</x:v>
      </x:c>
      <x:c r="F257" s="16" t="str">
        <x:v>Gazipur Plant</x:v>
      </x:c>
      <x:c r="G257" s="16" t="str">
        <x:v>Permanent</x:v>
      </x:c>
      <x:c r="H257" s="35" t="n">
        <x:v>43261</x:v>
      </x:c>
      <x:c r="I257" s="35" t="n">
        <x:v>45838</x:v>
      </x:c>
      <x:c r="J257" s="16" t="str">
        <x:v>Career Growth</x:v>
      </x:c>
      <x:c r="K257" s="16" t="str">
        <x:f>IF(I257="","Active","Exited")</x:f>
        <x:v>Exited</x:v>
      </x:c>
      <x:c r="L257" s="16" t="n">
        <x:f>(YEAR(IF(I257="",TODAY(),I257))-YEAR(H257))*12+MONTH(IF(I257="",TODAY(),I257))-MONTH(H257)</x:f>
        <x:v>84</x:v>
      </x:c>
      <x:c r="M257" s="36" t="n">
        <x:f>DATE(YEAR(H257),MONTH(H257),1)</x:f>
        <x:v>43252</x:v>
      </x:c>
      <x:c r="N257" s="36" t="n">
        <x:f>IF(I257="","",DATE(YEAR(I257),MONTH(I257),1))</x:f>
        <x:v>45809</x:v>
      </x:c>
    </x:row>
    <x:row r="258">
      <x:c r="A258" s="16" t="str">
        <x:v>HG-01257</x:v>
      </x:c>
      <x:c r="B258" s="16" t="str">
        <x:v>Mahmud Hasan</x:v>
      </x:c>
      <x:c r="C258" s="16" t="str">
        <x:v>Male</x:v>
      </x:c>
      <x:c r="D258" s="16" t="str">
        <x:v>Production</x:v>
      </x:c>
      <x:c r="E258" s="16" t="str">
        <x:v>Assistant Manager - Production</x:v>
      </x:c>
      <x:c r="F258" s="16" t="str">
        <x:v>Narayanganj Plant</x:v>
      </x:c>
      <x:c r="G258" s="16" t="str">
        <x:v>Permanent</x:v>
      </x:c>
      <x:c r="H258" s="35" t="n">
        <x:v>42918</x:v>
      </x:c>
      <x:c r="I258" s="35"/>
      <x:c r="J258" s="16" t="str"/>
      <x:c r="K258" s="16" t="str">
        <x:f>IF(I258="","Active","Exited")</x:f>
        <x:v>Active</x:v>
      </x:c>
      <x:c r="L258" s="16" t="n">
        <x:f>(YEAR(IF(I258="",TODAY(),I258))-YEAR(H258))*12+MONTH(IF(I258="",TODAY(),I258))-MONTH(H258)</x:f>
        <x:v>108</x:v>
      </x:c>
      <x:c r="M258" s="36" t="n">
        <x:f>DATE(YEAR(H258),MONTH(H258),1)</x:f>
        <x:v>42917</x:v>
      </x:c>
      <x:c r="N258" s="36" t="str">
        <x:f>IF(I258="","",DATE(YEAR(I258),MONTH(I258),1))</x:f>
      </x:c>
    </x:row>
    <x:row r="259">
      <x:c r="A259" s="16" t="str">
        <x:v>HG-01258</x:v>
      </x:c>
      <x:c r="B259" s="16" t="str">
        <x:v>Mehedi Sarker</x:v>
      </x:c>
      <x:c r="C259" s="16" t="str">
        <x:v>Male</x:v>
      </x:c>
      <x:c r="D259" s="16" t="str">
        <x:v>Information Technology</x:v>
      </x:c>
      <x:c r="E259" s="16" t="str">
        <x:v>Software Executive</x:v>
      </x:c>
      <x:c r="F259" s="16" t="str">
        <x:v>Dhaka Head Office</x:v>
      </x:c>
      <x:c r="G259" s="16" t="str">
        <x:v>Permanent</x:v>
      </x:c>
      <x:c r="H259" s="35" t="n">
        <x:v>43031</x:v>
      </x:c>
      <x:c r="I259" s="35"/>
      <x:c r="J259" s="16" t="str"/>
      <x:c r="K259" s="16" t="str">
        <x:f>IF(I259="","Active","Exited")</x:f>
        <x:v>Active</x:v>
      </x:c>
      <x:c r="L259" s="16" t="n">
        <x:f>(YEAR(IF(I259="",TODAY(),I259))-YEAR(H259))*12+MONTH(IF(I259="",TODAY(),I259))-MONTH(H259)</x:f>
        <x:v>105</x:v>
      </x:c>
      <x:c r="M259" s="36" t="n">
        <x:f>DATE(YEAR(H259),MONTH(H259),1)</x:f>
        <x:v>43009</x:v>
      </x:c>
      <x:c r="N259" s="36" t="str">
        <x:f>IF(I259="","",DATE(YEAR(I259),MONTH(I259),1))</x:f>
      </x:c>
    </x:row>
    <x:row r="260">
      <x:c r="A260" s="16" t="str">
        <x:v>HG-01259</x:v>
      </x:c>
      <x:c r="B260" s="16" t="str">
        <x:v>Sajid Sarker</x:v>
      </x:c>
      <x:c r="C260" s="16" t="str">
        <x:v>Male</x:v>
      </x:c>
      <x:c r="D260" s="16" t="str">
        <x:v>Quality Assurance</x:v>
      </x:c>
      <x:c r="E260" s="16" t="str">
        <x:v>Assistant Manager - QA</x:v>
      </x:c>
      <x:c r="F260" s="16" t="str">
        <x:v>Dhaka Head Office</x:v>
      </x:c>
      <x:c r="G260" s="16" t="str">
        <x:v>Permanent</x:v>
      </x:c>
      <x:c r="H260" s="35" t="n">
        <x:v>45323</x:v>
      </x:c>
      <x:c r="I260" s="35"/>
      <x:c r="J260" s="16" t="str"/>
      <x:c r="K260" s="16" t="str">
        <x:f>IF(I260="","Active","Exited")</x:f>
        <x:v>Active</x:v>
      </x:c>
      <x:c r="L260" s="16" t="n">
        <x:f>(YEAR(IF(I260="",TODAY(),I260))-YEAR(H260))*12+MONTH(IF(I260="",TODAY(),I260))-MONTH(H260)</x:f>
        <x:v>29</x:v>
      </x:c>
      <x:c r="M260" s="36" t="n">
        <x:f>DATE(YEAR(H260),MONTH(H260),1)</x:f>
        <x:v>45323</x:v>
      </x:c>
      <x:c r="N260" s="36" t="str">
        <x:f>IF(I260="","",DATE(YEAR(I260),MONTH(I260),1))</x:f>
      </x:c>
    </x:row>
    <x:row r="261">
      <x:c r="A261" s="16" t="str">
        <x:v>HG-01260</x:v>
      </x:c>
      <x:c r="B261" s="16" t="str">
        <x:v>Mahmud Akter</x:v>
      </x:c>
      <x:c r="C261" s="16" t="str">
        <x:v>Male</x:v>
      </x:c>
      <x:c r="D261" s="16" t="str">
        <x:v>Production</x:v>
      </x:c>
      <x:c r="E261" s="16" t="str">
        <x:v>Assistant Manager - Production</x:v>
      </x:c>
      <x:c r="F261" s="16" t="str">
        <x:v>Gazipur Plant</x:v>
      </x:c>
      <x:c r="G261" s="16" t="str">
        <x:v>Permanent</x:v>
      </x:c>
      <x:c r="H261" s="35" t="n">
        <x:v>42893</x:v>
      </x:c>
      <x:c r="I261" s="35"/>
      <x:c r="J261" s="16" t="str"/>
      <x:c r="K261" s="16" t="str">
        <x:f>IF(I261="","Active","Exited")</x:f>
        <x:v>Active</x:v>
      </x:c>
      <x:c r="L261" s="16" t="n">
        <x:f>(YEAR(IF(I261="",TODAY(),I261))-YEAR(H261))*12+MONTH(IF(I261="",TODAY(),I261))-MONTH(H261)</x:f>
        <x:v>109</x:v>
      </x:c>
      <x:c r="M261" s="36" t="n">
        <x:f>DATE(YEAR(H261),MONTH(H261),1)</x:f>
        <x:v>42887</x:v>
      </x:c>
      <x:c r="N261" s="36" t="str">
        <x:f>IF(I261="","",DATE(YEAR(I261),MONTH(I261),1))</x:f>
      </x:c>
    </x:row>
    <x:row r="262">
      <x:c r="A262" s="16" t="str">
        <x:v>HG-01261</x:v>
      </x:c>
      <x:c r="B262" s="16" t="str">
        <x:v>Mahmud Hossain</x:v>
      </x:c>
      <x:c r="C262" s="16" t="str">
        <x:v>Male</x:v>
      </x:c>
      <x:c r="D262" s="16" t="str">
        <x:v>Production</x:v>
      </x:c>
      <x:c r="E262" s="16" t="str">
        <x:v>Line Supervisor</x:v>
      </x:c>
      <x:c r="F262" s="16" t="str">
        <x:v>Gazipur Plant</x:v>
      </x:c>
      <x:c r="G262" s="16" t="str">
        <x:v>Permanent</x:v>
      </x:c>
      <x:c r="H262" s="35" t="n">
        <x:v>43026</x:v>
      </x:c>
      <x:c r="I262" s="35"/>
      <x:c r="J262" s="16" t="str"/>
      <x:c r="K262" s="16" t="str">
        <x:f>IF(I262="","Active","Exited")</x:f>
        <x:v>Active</x:v>
      </x:c>
      <x:c r="L262" s="16" t="n">
        <x:f>(YEAR(IF(I262="",TODAY(),I262))-YEAR(H262))*12+MONTH(IF(I262="",TODAY(),I262))-MONTH(H262)</x:f>
        <x:v>105</x:v>
      </x:c>
      <x:c r="M262" s="36" t="n">
        <x:f>DATE(YEAR(H262),MONTH(H262),1)</x:f>
        <x:v>43009</x:v>
      </x:c>
      <x:c r="N262" s="36" t="str">
        <x:f>IF(I262="","",DATE(YEAR(I262),MONTH(I262),1))</x:f>
      </x:c>
    </x:row>
    <x:row r="263">
      <x:c r="A263" s="16" t="str">
        <x:v>HG-01262</x:v>
      </x:c>
      <x:c r="B263" s="16" t="str">
        <x:v>Sabbir Islam</x:v>
      </x:c>
      <x:c r="C263" s="16" t="str">
        <x:v>Male</x:v>
      </x:c>
      <x:c r="D263" s="16" t="str">
        <x:v>Supply Chain</x:v>
      </x:c>
      <x:c r="E263" s="16" t="str">
        <x:v>Senior Supply Chain Executive</x:v>
      </x:c>
      <x:c r="F263" s="16" t="str">
        <x:v>Chattogram Office</x:v>
      </x:c>
      <x:c r="G263" s="16" t="str">
        <x:v>Permanent</x:v>
      </x:c>
      <x:c r="H263" s="35" t="n">
        <x:v>45147</x:v>
      </x:c>
      <x:c r="I263" s="35" t="n">
        <x:v>45810</x:v>
      </x:c>
      <x:c r="J263" s="16" t="str">
        <x:v>Supervisor / Management</x:v>
      </x:c>
      <x:c r="K263" s="16" t="str">
        <x:f>IF(I263="","Active","Exited")</x:f>
        <x:v>Exited</x:v>
      </x:c>
      <x:c r="L263" s="16" t="n">
        <x:f>(YEAR(IF(I263="",TODAY(),I263))-YEAR(H263))*12+MONTH(IF(I263="",TODAY(),I263))-MONTH(H263)</x:f>
        <x:v>22</x:v>
      </x:c>
      <x:c r="M263" s="36" t="n">
        <x:f>DATE(YEAR(H263),MONTH(H263),1)</x:f>
        <x:v>45139</x:v>
      </x:c>
      <x:c r="N263" s="36" t="n">
        <x:f>IF(I263="","",DATE(YEAR(I263),MONTH(I263),1))</x:f>
        <x:v>45809</x:v>
      </x:c>
    </x:row>
    <x:row r="264">
      <x:c r="A264" s="16" t="str">
        <x:v>HG-01263</x:v>
      </x:c>
      <x:c r="B264" s="16" t="str">
        <x:v>Mahmud Alam</x:v>
      </x:c>
      <x:c r="C264" s="16" t="str">
        <x:v>Male</x:v>
      </x:c>
      <x:c r="D264" s="16" t="str">
        <x:v>Supply Chain</x:v>
      </x:c>
      <x:c r="E264" s="16" t="str">
        <x:v>Inventory Officer</x:v>
      </x:c>
      <x:c r="F264" s="16" t="str">
        <x:v>Gazipur Plant</x:v>
      </x:c>
      <x:c r="G264" s="16" t="str">
        <x:v>Permanent</x:v>
      </x:c>
      <x:c r="H264" s="35" t="n">
        <x:v>45570</x:v>
      </x:c>
      <x:c r="I264" s="35"/>
      <x:c r="J264" s="16" t="str"/>
      <x:c r="K264" s="16" t="str">
        <x:f>IF(I264="","Active","Exited")</x:f>
        <x:v>Active</x:v>
      </x:c>
      <x:c r="L264" s="16" t="n">
        <x:f>(YEAR(IF(I264="",TODAY(),I264))-YEAR(H264))*12+MONTH(IF(I264="",TODAY(),I264))-MONTH(H264)</x:f>
        <x:v>21</x:v>
      </x:c>
      <x:c r="M264" s="36" t="n">
        <x:f>DATE(YEAR(H264),MONTH(H264),1)</x:f>
        <x:v>45566</x:v>
      </x:c>
      <x:c r="N264" s="36" t="str">
        <x:f>IF(I264="","",DATE(YEAR(I264),MONTH(I264),1))</x:f>
      </x:c>
    </x:row>
    <x:row r="265">
      <x:c r="A265" s="16" t="str">
        <x:v>HG-01264</x:v>
      </x:c>
      <x:c r="B265" s="16" t="str">
        <x:v>Rashed Sarker</x:v>
      </x:c>
      <x:c r="C265" s="16" t="str">
        <x:v>Male</x:v>
      </x:c>
      <x:c r="D265" s="16" t="str">
        <x:v>Supply Chain</x:v>
      </x:c>
      <x:c r="E265" s="16" t="str">
        <x:v>Inventory Officer</x:v>
      </x:c>
      <x:c r="F265" s="16" t="str">
        <x:v>Gazipur Plant</x:v>
      </x:c>
      <x:c r="G265" s="16" t="str">
        <x:v>Permanent</x:v>
      </x:c>
      <x:c r="H265" s="35" t="n">
        <x:v>43788</x:v>
      </x:c>
      <x:c r="I265" s="35"/>
      <x:c r="J265" s="16" t="str"/>
      <x:c r="K265" s="16" t="str">
        <x:f>IF(I265="","Active","Exited")</x:f>
        <x:v>Active</x:v>
      </x:c>
      <x:c r="L265" s="16" t="n">
        <x:f>(YEAR(IF(I265="",TODAY(),I265))-YEAR(H265))*12+MONTH(IF(I265="",TODAY(),I265))-MONTH(H265)</x:f>
        <x:v>80</x:v>
      </x:c>
      <x:c r="M265" s="36" t="n">
        <x:f>DATE(YEAR(H265),MONTH(H265),1)</x:f>
        <x:v>43770</x:v>
      </x:c>
      <x:c r="N265" s="36" t="str">
        <x:f>IF(I265="","",DATE(YEAR(I265),MONTH(I265),1))</x:f>
      </x:c>
    </x:row>
    <x:row r="266">
      <x:c r="A266" s="16" t="str">
        <x:v>HG-01265</x:v>
      </x:c>
      <x:c r="B266" s="16" t="str">
        <x:v>Mizan Sarker</x:v>
      </x:c>
      <x:c r="C266" s="16" t="str">
        <x:v>Male</x:v>
      </x:c>
      <x:c r="D266" s="16" t="str">
        <x:v>Production</x:v>
      </x:c>
      <x:c r="E266" s="16" t="str">
        <x:v>Production Operator</x:v>
      </x:c>
      <x:c r="F266" s="16" t="str">
        <x:v>Gazipur Plant</x:v>
      </x:c>
      <x:c r="G266" s="16" t="str">
        <x:v>Probation</x:v>
      </x:c>
      <x:c r="H266" s="35" t="n">
        <x:v>43369</x:v>
      </x:c>
      <x:c r="I266" s="35"/>
      <x:c r="J266" s="16" t="str"/>
      <x:c r="K266" s="16" t="str">
        <x:f>IF(I266="","Active","Exited")</x:f>
        <x:v>Active</x:v>
      </x:c>
      <x:c r="L266" s="16" t="n">
        <x:f>(YEAR(IF(I266="",TODAY(),I266))-YEAR(H266))*12+MONTH(IF(I266="",TODAY(),I266))-MONTH(H266)</x:f>
        <x:v>94</x:v>
      </x:c>
      <x:c r="M266" s="36" t="n">
        <x:f>DATE(YEAR(H266),MONTH(H266),1)</x:f>
        <x:v>43344</x:v>
      </x:c>
      <x:c r="N266" s="36" t="str">
        <x:f>IF(I266="","",DATE(YEAR(I266),MONTH(I266),1))</x:f>
      </x:c>
    </x:row>
    <x:row r="267">
      <x:c r="A267" s="16" t="str">
        <x:v>HG-01266</x:v>
      </x:c>
      <x:c r="B267" s="16" t="str">
        <x:v>Jubayer Islam</x:v>
      </x:c>
      <x:c r="C267" s="16" t="str">
        <x:v>Male</x:v>
      </x:c>
      <x:c r="D267" s="16" t="str">
        <x:v>Production</x:v>
      </x:c>
      <x:c r="E267" s="16" t="str">
        <x:v>Senior Operator</x:v>
      </x:c>
      <x:c r="F267" s="16" t="str">
        <x:v>Narayanganj Plant</x:v>
      </x:c>
      <x:c r="G267" s="16" t="str">
        <x:v>Permanent</x:v>
      </x:c>
      <x:c r="H267" s="35" t="n">
        <x:v>43194</x:v>
      </x:c>
      <x:c r="I267" s="35" t="n">
        <x:v>45699</x:v>
      </x:c>
      <x:c r="J267" s="16" t="str">
        <x:v>Performance</x:v>
      </x:c>
      <x:c r="K267" s="16" t="str">
        <x:f>IF(I267="","Active","Exited")</x:f>
        <x:v>Exited</x:v>
      </x:c>
      <x:c r="L267" s="16" t="n">
        <x:f>(YEAR(IF(I267="",TODAY(),I267))-YEAR(H267))*12+MONTH(IF(I267="",TODAY(),I267))-MONTH(H267)</x:f>
        <x:v>82</x:v>
      </x:c>
      <x:c r="M267" s="36" t="n">
        <x:f>DATE(YEAR(H267),MONTH(H267),1)</x:f>
        <x:v>43191</x:v>
      </x:c>
      <x:c r="N267" s="36" t="n">
        <x:f>IF(I267="","",DATE(YEAR(I267),MONTH(I267),1))</x:f>
        <x:v>45689</x:v>
      </x:c>
    </x:row>
    <x:row r="268">
      <x:c r="A268" s="16" t="str">
        <x:v>HG-01267</x:v>
      </x:c>
      <x:c r="B268" s="16" t="str">
        <x:v>Tanvir Kabir</x:v>
      </x:c>
      <x:c r="C268" s="16" t="str">
        <x:v>Male</x:v>
      </x:c>
      <x:c r="D268" s="16" t="str">
        <x:v>Production</x:v>
      </x:c>
      <x:c r="E268" s="16" t="str">
        <x:v>Production Operator</x:v>
      </x:c>
      <x:c r="F268" s="16" t="str">
        <x:v>Gazipur Plant</x:v>
      </x:c>
      <x:c r="G268" s="16" t="str">
        <x:v>Permanent</x:v>
      </x:c>
      <x:c r="H268" s="35" t="n">
        <x:v>44999</x:v>
      </x:c>
      <x:c r="I268" s="35"/>
      <x:c r="J268" s="16" t="str"/>
      <x:c r="K268" s="16" t="str">
        <x:f>IF(I268="","Active","Exited")</x:f>
        <x:v>Active</x:v>
      </x:c>
      <x:c r="L268" s="16" t="n">
        <x:f>(YEAR(IF(I268="",TODAY(),I268))-YEAR(H268))*12+MONTH(IF(I268="",TODAY(),I268))-MONTH(H268)</x:f>
        <x:v>40</x:v>
      </x:c>
      <x:c r="M268" s="36" t="n">
        <x:f>DATE(YEAR(H268),MONTH(H268),1)</x:f>
        <x:v>44986</x:v>
      </x:c>
      <x:c r="N268" s="36" t="str">
        <x:f>IF(I268="","",DATE(YEAR(I268),MONTH(I268),1))</x:f>
      </x:c>
    </x:row>
    <x:row r="269">
      <x:c r="A269" s="16" t="str">
        <x:v>HG-01268</x:v>
      </x:c>
      <x:c r="B269" s="16" t="str">
        <x:v>Hasan Karim</x:v>
      </x:c>
      <x:c r="C269" s="16" t="str">
        <x:v>Male</x:v>
      </x:c>
      <x:c r="D269" s="16" t="str">
        <x:v>Production</x:v>
      </x:c>
      <x:c r="E269" s="16" t="str">
        <x:v>Senior Operator</x:v>
      </x:c>
      <x:c r="F269" s="16" t="str">
        <x:v>Gazipur Plant</x:v>
      </x:c>
      <x:c r="G269" s="16" t="str">
        <x:v>Permanent</x:v>
      </x:c>
      <x:c r="H269" s="35" t="n">
        <x:v>42924</x:v>
      </x:c>
      <x:c r="I269" s="35"/>
      <x:c r="J269" s="16" t="str"/>
      <x:c r="K269" s="16" t="str">
        <x:f>IF(I269="","Active","Exited")</x:f>
        <x:v>Active</x:v>
      </x:c>
      <x:c r="L269" s="16" t="n">
        <x:f>(YEAR(IF(I269="",TODAY(),I269))-YEAR(H269))*12+MONTH(IF(I269="",TODAY(),I269))-MONTH(H269)</x:f>
        <x:v>108</x:v>
      </x:c>
      <x:c r="M269" s="36" t="n">
        <x:f>DATE(YEAR(H269),MONTH(H269),1)</x:f>
        <x:v>42917</x:v>
      </x:c>
      <x:c r="N269" s="36" t="str">
        <x:f>IF(I269="","",DATE(YEAR(I269),MONTH(I269),1))</x:f>
      </x:c>
    </x:row>
    <x:row r="270">
      <x:c r="A270" s="16" t="str">
        <x:v>HG-01269</x:v>
      </x:c>
      <x:c r="B270" s="16" t="str">
        <x:v>Jubayer Akter</x:v>
      </x:c>
      <x:c r="C270" s="16" t="str">
        <x:v>Male</x:v>
      </x:c>
      <x:c r="D270" s="16" t="str">
        <x:v>Production</x:v>
      </x:c>
      <x:c r="E270" s="16" t="str">
        <x:v>Senior Operator</x:v>
      </x:c>
      <x:c r="F270" s="16" t="str">
        <x:v>Narayanganj Plant</x:v>
      </x:c>
      <x:c r="G270" s="16" t="str">
        <x:v>Contract</x:v>
      </x:c>
      <x:c r="H270" s="35" t="n">
        <x:v>44229</x:v>
      </x:c>
      <x:c r="I270" s="35" t="n">
        <x:v>46201</x:v>
      </x:c>
      <x:c r="J270" s="16" t="str">
        <x:v>End of Contract</x:v>
      </x:c>
      <x:c r="K270" s="16" t="str">
        <x:f>IF(I270="","Active","Exited")</x:f>
        <x:v>Exited</x:v>
      </x:c>
      <x:c r="L270" s="16" t="n">
        <x:f>(YEAR(IF(I270="",TODAY(),I270))-YEAR(H270))*12+MONTH(IF(I270="",TODAY(),I270))-MONTH(H270)</x:f>
        <x:v>64</x:v>
      </x:c>
      <x:c r="M270" s="36" t="n">
        <x:f>DATE(YEAR(H270),MONTH(H270),1)</x:f>
        <x:v>44228</x:v>
      </x:c>
      <x:c r="N270" s="36" t="n">
        <x:f>IF(I270="","",DATE(YEAR(I270),MONTH(I270),1))</x:f>
        <x:v>46174</x:v>
      </x:c>
    </x:row>
    <x:row r="271">
      <x:c r="A271" s="16" t="str">
        <x:v>HG-01270</x:v>
      </x:c>
      <x:c r="B271" s="16" t="str">
        <x:v>Farhan Begum</x:v>
      </x:c>
      <x:c r="C271" s="16" t="str">
        <x:v>Male</x:v>
      </x:c>
      <x:c r="D271" s="16" t="str">
        <x:v>Administration</x:v>
      </x:c>
      <x:c r="E271" s="16" t="str">
        <x:v>Senior Admin Executive</x:v>
      </x:c>
      <x:c r="F271" s="16" t="str">
        <x:v>Dhaka Head Office</x:v>
      </x:c>
      <x:c r="G271" s="16" t="str">
        <x:v>Permanent</x:v>
      </x:c>
      <x:c r="H271" s="35" t="n">
        <x:v>43420</x:v>
      </x:c>
      <x:c r="I271" s="35" t="n">
        <x:v>45707</x:v>
      </x:c>
      <x:c r="J271" s="16" t="str">
        <x:v>Personal / Family</x:v>
      </x:c>
      <x:c r="K271" s="16" t="str">
        <x:f>IF(I271="","Active","Exited")</x:f>
        <x:v>Exited</x:v>
      </x:c>
      <x:c r="L271" s="16" t="n">
        <x:f>(YEAR(IF(I271="",TODAY(),I271))-YEAR(H271))*12+MONTH(IF(I271="",TODAY(),I271))-MONTH(H271)</x:f>
        <x:v>75</x:v>
      </x:c>
      <x:c r="M271" s="36" t="n">
        <x:f>DATE(YEAR(H271),MONTH(H271),1)</x:f>
        <x:v>43405</x:v>
      </x:c>
      <x:c r="N271" s="36" t="n">
        <x:f>IF(I271="","",DATE(YEAR(I271),MONTH(I271),1))</x:f>
        <x:v>45689</x:v>
      </x:c>
    </x:row>
    <x:row r="272">
      <x:c r="A272" s="16" t="str">
        <x:v>HG-01271</x:v>
      </x:c>
      <x:c r="B272" s="16" t="str">
        <x:v>Asif Rahman</x:v>
      </x:c>
      <x:c r="C272" s="16" t="str">
        <x:v>Male</x:v>
      </x:c>
      <x:c r="D272" s="16" t="str">
        <x:v>Production</x:v>
      </x:c>
      <x:c r="E272" s="16" t="str">
        <x:v>Line Supervisor</x:v>
      </x:c>
      <x:c r="F272" s="16" t="str">
        <x:v>Gazipur Plant</x:v>
      </x:c>
      <x:c r="G272" s="16" t="str">
        <x:v>Permanent</x:v>
      </x:c>
      <x:c r="H272" s="35" t="n">
        <x:v>45626</x:v>
      </x:c>
      <x:c r="I272" s="35"/>
      <x:c r="J272" s="16" t="str"/>
      <x:c r="K272" s="16" t="str">
        <x:f>IF(I272="","Active","Exited")</x:f>
        <x:v>Active</x:v>
      </x:c>
      <x:c r="L272" s="16" t="n">
        <x:f>(YEAR(IF(I272="",TODAY(),I272))-YEAR(H272))*12+MONTH(IF(I272="",TODAY(),I272))-MONTH(H272)</x:f>
        <x:v>20</x:v>
      </x:c>
      <x:c r="M272" s="36" t="n">
        <x:f>DATE(YEAR(H272),MONTH(H272),1)</x:f>
        <x:v>45597</x:v>
      </x:c>
      <x:c r="N272" s="36" t="str">
        <x:f>IF(I272="","",DATE(YEAR(I272),MONTH(I272),1))</x:f>
      </x:c>
    </x:row>
    <x:row r="273">
      <x:c r="A273" s="16" t="str">
        <x:v>HG-01272</x:v>
      </x:c>
      <x:c r="B273" s="16" t="str">
        <x:v>Imran Rahman</x:v>
      </x:c>
      <x:c r="C273" s="16" t="str">
        <x:v>Male</x:v>
      </x:c>
      <x:c r="D273" s="16" t="str">
        <x:v>Quality Assurance</x:v>
      </x:c>
      <x:c r="E273" s="16" t="str">
        <x:v>Assistant Manager - QA</x:v>
      </x:c>
      <x:c r="F273" s="16" t="str">
        <x:v>Narayanganj Plant</x:v>
      </x:c>
      <x:c r="G273" s="16" t="str">
        <x:v>Contract</x:v>
      </x:c>
      <x:c r="H273" s="35" t="n">
        <x:v>45116</x:v>
      </x:c>
      <x:c r="I273" s="35"/>
      <x:c r="J273" s="16" t="str"/>
      <x:c r="K273" s="16" t="str">
        <x:f>IF(I273="","Active","Exited")</x:f>
        <x:v>Active</x:v>
      </x:c>
      <x:c r="L273" s="16" t="n">
        <x:f>(YEAR(IF(I273="",TODAY(),I273))-YEAR(H273))*12+MONTH(IF(I273="",TODAY(),I273))-MONTH(H273)</x:f>
        <x:v>36</x:v>
      </x:c>
      <x:c r="M273" s="36" t="n">
        <x:f>DATE(YEAR(H273),MONTH(H273),1)</x:f>
        <x:v>45108</x:v>
      </x:c>
      <x:c r="N273" s="36" t="str">
        <x:f>IF(I273="","",DATE(YEAR(I273),MONTH(I273),1))</x:f>
      </x:c>
    </x:row>
    <x:row r="274">
      <x:c r="A274" s="16" t="str">
        <x:v>HG-01273</x:v>
      </x:c>
      <x:c r="B274" s="16" t="str">
        <x:v>Raisa Akter</x:v>
      </x:c>
      <x:c r="C274" s="16" t="str">
        <x:v>Female</x:v>
      </x:c>
      <x:c r="D274" s="16" t="str">
        <x:v>Supply Chain</x:v>
      </x:c>
      <x:c r="E274" s="16" t="str">
        <x:v>Procurement Executive</x:v>
      </x:c>
      <x:c r="F274" s="16" t="str">
        <x:v>Gazipur Plant</x:v>
      </x:c>
      <x:c r="G274" s="16" t="str">
        <x:v>Permanent</x:v>
      </x:c>
      <x:c r="H274" s="35" t="n">
        <x:v>44325</x:v>
      </x:c>
      <x:c r="I274" s="35"/>
      <x:c r="J274" s="16" t="str"/>
      <x:c r="K274" s="16" t="str">
        <x:f>IF(I274="","Active","Exited")</x:f>
        <x:v>Active</x:v>
      </x:c>
      <x:c r="L274" s="16" t="n">
        <x:f>(YEAR(IF(I274="",TODAY(),I274))-YEAR(H274))*12+MONTH(IF(I274="",TODAY(),I274))-MONTH(H274)</x:f>
        <x:v>62</x:v>
      </x:c>
      <x:c r="M274" s="36" t="n">
        <x:f>DATE(YEAR(H274),MONTH(H274),1)</x:f>
        <x:v>44317</x:v>
      </x:c>
      <x:c r="N274" s="36" t="str">
        <x:f>IF(I274="","",DATE(YEAR(I274),MONTH(I274),1))</x:f>
      </x:c>
    </x:row>
    <x:row r="275">
      <x:c r="A275" s="16" t="str">
        <x:v>HG-01274</x:v>
      </x:c>
      <x:c r="B275" s="16" t="str">
        <x:v>Jubayer Islam</x:v>
      </x:c>
      <x:c r="C275" s="16" t="str">
        <x:v>Male</x:v>
      </x:c>
      <x:c r="D275" s="16" t="str">
        <x:v>Production</x:v>
      </x:c>
      <x:c r="E275" s="16" t="str">
        <x:v>Assistant Manager - Production</x:v>
      </x:c>
      <x:c r="F275" s="16" t="str">
        <x:v>Narayanganj Plant</x:v>
      </x:c>
      <x:c r="G275" s="16" t="str">
        <x:v>Permanent</x:v>
      </x:c>
      <x:c r="H275" s="35" t="n">
        <x:v>45205</x:v>
      </x:c>
      <x:c r="I275" s="35" t="n">
        <x:v>45940</x:v>
      </x:c>
      <x:c r="J275" s="16" t="str">
        <x:v>Career Growth</x:v>
      </x:c>
      <x:c r="K275" s="16" t="str">
        <x:f>IF(I275="","Active","Exited")</x:f>
        <x:v>Exited</x:v>
      </x:c>
      <x:c r="L275" s="16" t="n">
        <x:f>(YEAR(IF(I275="",TODAY(),I275))-YEAR(H275))*12+MONTH(IF(I275="",TODAY(),I275))-MONTH(H275)</x:f>
        <x:v>24</x:v>
      </x:c>
      <x:c r="M275" s="36" t="n">
        <x:f>DATE(YEAR(H275),MONTH(H275),1)</x:f>
        <x:v>45200</x:v>
      </x:c>
      <x:c r="N275" s="36" t="n">
        <x:f>IF(I275="","",DATE(YEAR(I275),MONTH(I275),1))</x:f>
        <x:v>45931</x:v>
      </x:c>
    </x:row>
    <x:row r="276">
      <x:c r="A276" s="16" t="str">
        <x:v>HG-01275</x:v>
      </x:c>
      <x:c r="B276" s="16" t="str">
        <x:v>Nayeem Chowdhury</x:v>
      </x:c>
      <x:c r="C276" s="16" t="str">
        <x:v>Male</x:v>
      </x:c>
      <x:c r="D276" s="16" t="str">
        <x:v>Finance &amp; Accounts</x:v>
      </x:c>
      <x:c r="E276" s="16" t="str">
        <x:v>Senior Accounts Executive</x:v>
      </x:c>
      <x:c r="F276" s="16" t="str">
        <x:v>Dhaka Head Office</x:v>
      </x:c>
      <x:c r="G276" s="16" t="str">
        <x:v>Permanent</x:v>
      </x:c>
      <x:c r="H276" s="35" t="n">
        <x:v>43963</x:v>
      </x:c>
      <x:c r="I276" s="35" t="n">
        <x:v>46127</x:v>
      </x:c>
      <x:c r="J276" s="16" t="str">
        <x:v>Better Opportunity</x:v>
      </x:c>
      <x:c r="K276" s="16" t="str">
        <x:f>IF(I276="","Active","Exited")</x:f>
        <x:v>Exited</x:v>
      </x:c>
      <x:c r="L276" s="16" t="n">
        <x:f>(YEAR(IF(I276="",TODAY(),I276))-YEAR(H276))*12+MONTH(IF(I276="",TODAY(),I276))-MONTH(H276)</x:f>
        <x:v>71</x:v>
      </x:c>
      <x:c r="M276" s="36" t="n">
        <x:f>DATE(YEAR(H276),MONTH(H276),1)</x:f>
        <x:v>43952</x:v>
      </x:c>
      <x:c r="N276" s="36" t="n">
        <x:f>IF(I276="","",DATE(YEAR(I276),MONTH(I276),1))</x:f>
        <x:v>46113</x:v>
      </x:c>
    </x:row>
    <x:row r="277">
      <x:c r="A277" s="16" t="str">
        <x:v>HG-01276</x:v>
      </x:c>
      <x:c r="B277" s="16" t="str">
        <x:v>Mizan Ahmed</x:v>
      </x:c>
      <x:c r="C277" s="16" t="str">
        <x:v>Male</x:v>
      </x:c>
      <x:c r="D277" s="16" t="str">
        <x:v>Information Technology</x:v>
      </x:c>
      <x:c r="E277" s="16" t="str">
        <x:v>Assistant Manager - IT</x:v>
      </x:c>
      <x:c r="F277" s="16" t="str">
        <x:v>Dhaka Head Office</x:v>
      </x:c>
      <x:c r="G277" s="16" t="str">
        <x:v>Permanent</x:v>
      </x:c>
      <x:c r="H277" s="35" t="n">
        <x:v>44907</x:v>
      </x:c>
      <x:c r="I277" s="35"/>
      <x:c r="J277" s="16" t="str"/>
      <x:c r="K277" s="16" t="str">
        <x:f>IF(I277="","Active","Exited")</x:f>
        <x:v>Active</x:v>
      </x:c>
      <x:c r="L277" s="16" t="n">
        <x:f>(YEAR(IF(I277="",TODAY(),I277))-YEAR(H277))*12+MONTH(IF(I277="",TODAY(),I277))-MONTH(H277)</x:f>
        <x:v>43</x:v>
      </x:c>
      <x:c r="M277" s="36" t="n">
        <x:f>DATE(YEAR(H277),MONTH(H277),1)</x:f>
        <x:v>44896</x:v>
      </x:c>
      <x:c r="N277" s="36" t="str">
        <x:f>IF(I277="","",DATE(YEAR(I277),MONTH(I277),1))</x:f>
      </x:c>
    </x:row>
    <x:row r="278">
      <x:c r="A278" s="16" t="str">
        <x:v>HG-01277</x:v>
      </x:c>
      <x:c r="B278" s="16" t="str">
        <x:v>Fahim Rahman</x:v>
      </x:c>
      <x:c r="C278" s="16" t="str">
        <x:v>Male</x:v>
      </x:c>
      <x:c r="D278" s="16" t="str">
        <x:v>Administration</x:v>
      </x:c>
      <x:c r="E278" s="16" t="str">
        <x:v>Assistant Manager - Admin</x:v>
      </x:c>
      <x:c r="F278" s="16" t="str">
        <x:v>Narayanganj Plant</x:v>
      </x:c>
      <x:c r="G278" s="16" t="str">
        <x:v>Permanent</x:v>
      </x:c>
      <x:c r="H278" s="35" t="n">
        <x:v>44507</x:v>
      </x:c>
      <x:c r="I278" s="35"/>
      <x:c r="J278" s="16" t="str"/>
      <x:c r="K278" s="16" t="str">
        <x:f>IF(I278="","Active","Exited")</x:f>
        <x:v>Active</x:v>
      </x:c>
      <x:c r="L278" s="16" t="n">
        <x:f>(YEAR(IF(I278="",TODAY(),I278))-YEAR(H278))*12+MONTH(IF(I278="",TODAY(),I278))-MONTH(H278)</x:f>
        <x:v>56</x:v>
      </x:c>
      <x:c r="M278" s="36" t="n">
        <x:f>DATE(YEAR(H278),MONTH(H278),1)</x:f>
        <x:v>44501</x:v>
      </x:c>
      <x:c r="N278" s="36" t="str">
        <x:f>IF(I278="","",DATE(YEAR(I278),MONTH(I278),1))</x:f>
      </x:c>
    </x:row>
    <x:row r="279">
      <x:c r="A279" s="16" t="str">
        <x:v>HG-01278</x:v>
      </x:c>
      <x:c r="B279" s="16" t="str">
        <x:v>Sumaiya Miah</x:v>
      </x:c>
      <x:c r="C279" s="16" t="str">
        <x:v>Female</x:v>
      </x:c>
      <x:c r="D279" s="16" t="str">
        <x:v>Finance &amp; Accounts</x:v>
      </x:c>
      <x:c r="E279" s="16" t="str">
        <x:v>Accounts Executive</x:v>
      </x:c>
      <x:c r="F279" s="16" t="str">
        <x:v>Dhaka Head Office</x:v>
      </x:c>
      <x:c r="G279" s="16" t="str">
        <x:v>Permanent</x:v>
      </x:c>
      <x:c r="H279" s="35" t="n">
        <x:v>44871</x:v>
      </x:c>
      <x:c r="I279" s="35"/>
      <x:c r="J279" s="16" t="str"/>
      <x:c r="K279" s="16" t="str">
        <x:f>IF(I279="","Active","Exited")</x:f>
        <x:v>Active</x:v>
      </x:c>
      <x:c r="L279" s="16" t="n">
        <x:f>(YEAR(IF(I279="",TODAY(),I279))-YEAR(H279))*12+MONTH(IF(I279="",TODAY(),I279))-MONTH(H279)</x:f>
        <x:v>44</x:v>
      </x:c>
      <x:c r="M279" s="36" t="n">
        <x:f>DATE(YEAR(H279),MONTH(H279),1)</x:f>
        <x:v>44866</x:v>
      </x:c>
      <x:c r="N279" s="36" t="str">
        <x:f>IF(I279="","",DATE(YEAR(I279),MONTH(I279),1))</x:f>
      </x:c>
    </x:row>
    <x:row r="280">
      <x:c r="A280" s="16" t="str">
        <x:v>HG-01279</x:v>
      </x:c>
      <x:c r="B280" s="16" t="str">
        <x:v>Fahim Islam</x:v>
      </x:c>
      <x:c r="C280" s="16" t="str">
        <x:v>Male</x:v>
      </x:c>
      <x:c r="D280" s="16" t="str">
        <x:v>Finance &amp; Accounts</x:v>
      </x:c>
      <x:c r="E280" s="16" t="str">
        <x:v>Accounts Executive</x:v>
      </x:c>
      <x:c r="F280" s="16" t="str">
        <x:v>Chattogram Office</x:v>
      </x:c>
      <x:c r="G280" s="16" t="str">
        <x:v>Permanent</x:v>
      </x:c>
      <x:c r="H280" s="35" t="n">
        <x:v>44086</x:v>
      </x:c>
      <x:c r="I280" s="35"/>
      <x:c r="J280" s="16" t="str"/>
      <x:c r="K280" s="16" t="str">
        <x:f>IF(I280="","Active","Exited")</x:f>
        <x:v>Active</x:v>
      </x:c>
      <x:c r="L280" s="16" t="n">
        <x:f>(YEAR(IF(I280="",TODAY(),I280))-YEAR(H280))*12+MONTH(IF(I280="",TODAY(),I280))-MONTH(H280)</x:f>
        <x:v>70</x:v>
      </x:c>
      <x:c r="M280" s="36" t="n">
        <x:f>DATE(YEAR(H280),MONTH(H280),1)</x:f>
        <x:v>44075</x:v>
      </x:c>
      <x:c r="N280" s="36" t="str">
        <x:f>IF(I280="","",DATE(YEAR(I280),MONTH(I280),1))</x:f>
      </x:c>
    </x:row>
    <x:row r="281">
      <x:c r="A281" s="16" t="str">
        <x:v>HG-01280</x:v>
      </x:c>
      <x:c r="B281" s="16" t="str">
        <x:v>Rafi Hasan</x:v>
      </x:c>
      <x:c r="C281" s="16" t="str">
        <x:v>Male</x:v>
      </x:c>
      <x:c r="D281" s="16" t="str">
        <x:v>Production</x:v>
      </x:c>
      <x:c r="E281" s="16" t="str">
        <x:v>Line Supervisor</x:v>
      </x:c>
      <x:c r="F281" s="16" t="str">
        <x:v>Gazipur Plant</x:v>
      </x:c>
      <x:c r="G281" s="16" t="str">
        <x:v>Permanent</x:v>
      </x:c>
      <x:c r="H281" s="35" t="n">
        <x:v>45300</x:v>
      </x:c>
      <x:c r="I281" s="35" t="n">
        <x:v>45886</x:v>
      </x:c>
      <x:c r="J281" s="16" t="str">
        <x:v>Career Growth</x:v>
      </x:c>
      <x:c r="K281" s="16" t="str">
        <x:f>IF(I281="","Active","Exited")</x:f>
        <x:v>Exited</x:v>
      </x:c>
      <x:c r="L281" s="16" t="n">
        <x:f>(YEAR(IF(I281="",TODAY(),I281))-YEAR(H281))*12+MONTH(IF(I281="",TODAY(),I281))-MONTH(H281)</x:f>
        <x:v>19</x:v>
      </x:c>
      <x:c r="M281" s="36" t="n">
        <x:f>DATE(YEAR(H281),MONTH(H281),1)</x:f>
        <x:v>45292</x:v>
      </x:c>
      <x:c r="N281" s="36" t="n">
        <x:f>IF(I281="","",DATE(YEAR(I281),MONTH(I281),1))</x:f>
        <x:v>45870</x:v>
      </x:c>
    </x:row>
    <x:row r="282">
      <x:c r="A282" s="16" t="str">
        <x:v>HG-01281</x:v>
      </x:c>
      <x:c r="B282" s="16" t="str">
        <x:v>Foysal Hasan</x:v>
      </x:c>
      <x:c r="C282" s="16" t="str">
        <x:v>Male</x:v>
      </x:c>
      <x:c r="D282" s="16" t="str">
        <x:v>Administration</x:v>
      </x:c>
      <x:c r="E282" s="16" t="str">
        <x:v>Admin Executive</x:v>
      </x:c>
      <x:c r="F282" s="16" t="str">
        <x:v>Dhaka Head Office</x:v>
      </x:c>
      <x:c r="G282" s="16" t="str">
        <x:v>Permanent</x:v>
      </x:c>
      <x:c r="H282" s="35" t="n">
        <x:v>44192</x:v>
      </x:c>
      <x:c r="I282" s="35"/>
      <x:c r="J282" s="16" t="str"/>
      <x:c r="K282" s="16" t="str">
        <x:f>IF(I282="","Active","Exited")</x:f>
        <x:v>Active</x:v>
      </x:c>
      <x:c r="L282" s="16" t="n">
        <x:f>(YEAR(IF(I282="",TODAY(),I282))-YEAR(H282))*12+MONTH(IF(I282="",TODAY(),I282))-MONTH(H282)</x:f>
        <x:v>67</x:v>
      </x:c>
      <x:c r="M282" s="36" t="n">
        <x:f>DATE(YEAR(H282),MONTH(H282),1)</x:f>
        <x:v>44166</x:v>
      </x:c>
      <x:c r="N282" s="36" t="str">
        <x:f>IF(I282="","",DATE(YEAR(I282),MONTH(I282),1))</x:f>
      </x:c>
    </x:row>
    <x:row r="283">
      <x:c r="A283" s="16" t="str">
        <x:v>HG-01282</x:v>
      </x:c>
      <x:c r="B283" s="16" t="str">
        <x:v>Hasan Karim</x:v>
      </x:c>
      <x:c r="C283" s="16" t="str">
        <x:v>Male</x:v>
      </x:c>
      <x:c r="D283" s="16" t="str">
        <x:v>Information Technology</x:v>
      </x:c>
      <x:c r="E283" s="16" t="str">
        <x:v>IT Support Executive</x:v>
      </x:c>
      <x:c r="F283" s="16" t="str">
        <x:v>Dhaka Head Office</x:v>
      </x:c>
      <x:c r="G283" s="16" t="str">
        <x:v>Permanent</x:v>
      </x:c>
      <x:c r="H283" s="35" t="n">
        <x:v>44817</x:v>
      </x:c>
      <x:c r="I283" s="35" t="n">
        <x:v>45734</x:v>
      </x:c>
      <x:c r="J283" s="16" t="str">
        <x:v>Personal / Family</x:v>
      </x:c>
      <x:c r="K283" s="16" t="str">
        <x:f>IF(I283="","Active","Exited")</x:f>
        <x:v>Exited</x:v>
      </x:c>
      <x:c r="L283" s="16" t="n">
        <x:f>(YEAR(IF(I283="",TODAY(),I283))-YEAR(H283))*12+MONTH(IF(I283="",TODAY(),I283))-MONTH(H283)</x:f>
        <x:v>30</x:v>
      </x:c>
      <x:c r="M283" s="36" t="n">
        <x:f>DATE(YEAR(H283),MONTH(H283),1)</x:f>
        <x:v>44805</x:v>
      </x:c>
      <x:c r="N283" s="36" t="n">
        <x:f>IF(I283="","",DATE(YEAR(I283),MONTH(I283),1))</x:f>
        <x:v>45717</x:v>
      </x:c>
    </x:row>
    <x:row r="284">
      <x:c r="A284" s="16" t="str">
        <x:v>HG-01283</x:v>
      </x:c>
      <x:c r="B284" s="16" t="str">
        <x:v>Nazmul Islam</x:v>
      </x:c>
      <x:c r="C284" s="16" t="str">
        <x:v>Male</x:v>
      </x:c>
      <x:c r="D284" s="16" t="str">
        <x:v>Supply Chain</x:v>
      </x:c>
      <x:c r="E284" s="16" t="str">
        <x:v>Assistant Manager - Supply Chain</x:v>
      </x:c>
      <x:c r="F284" s="16" t="str">
        <x:v>Narayanganj Plant</x:v>
      </x:c>
      <x:c r="G284" s="16" t="str">
        <x:v>Permanent</x:v>
      </x:c>
      <x:c r="H284" s="35" t="n">
        <x:v>45389</x:v>
      </x:c>
      <x:c r="I284" s="35" t="n">
        <x:v>45961</x:v>
      </x:c>
      <x:c r="J284" s="16" t="str">
        <x:v>Relocation</x:v>
      </x:c>
      <x:c r="K284" s="16" t="str">
        <x:f>IF(I284="","Active","Exited")</x:f>
        <x:v>Exited</x:v>
      </x:c>
      <x:c r="L284" s="16" t="n">
        <x:f>(YEAR(IF(I284="",TODAY(),I284))-YEAR(H284))*12+MONTH(IF(I284="",TODAY(),I284))-MONTH(H284)</x:f>
        <x:v>18</x:v>
      </x:c>
      <x:c r="M284" s="36" t="n">
        <x:f>DATE(YEAR(H284),MONTH(H284),1)</x:f>
        <x:v>45383</x:v>
      </x:c>
      <x:c r="N284" s="36" t="n">
        <x:f>IF(I284="","",DATE(YEAR(I284),MONTH(I284),1))</x:f>
        <x:v>45931</x:v>
      </x:c>
    </x:row>
    <x:row r="285">
      <x:c r="A285" s="16" t="str">
        <x:v>HG-01284</x:v>
      </x:c>
      <x:c r="B285" s="16" t="str">
        <x:v>Ayesha Rahman</x:v>
      </x:c>
      <x:c r="C285" s="16" t="str">
        <x:v>Female</x:v>
      </x:c>
      <x:c r="D285" s="16" t="str">
        <x:v>Finance &amp; Accounts</x:v>
      </x:c>
      <x:c r="E285" s="16" t="str">
        <x:v>Senior Accounts Executive</x:v>
      </x:c>
      <x:c r="F285" s="16" t="str">
        <x:v>Dhaka Head Office</x:v>
      </x:c>
      <x:c r="G285" s="16" t="str">
        <x:v>Permanent</x:v>
      </x:c>
      <x:c r="H285" s="35" t="n">
        <x:v>44716</x:v>
      </x:c>
      <x:c r="I285" s="35" t="n">
        <x:v>46034</x:v>
      </x:c>
      <x:c r="J285" s="16" t="str">
        <x:v>Relocation</x:v>
      </x:c>
      <x:c r="K285" s="16" t="str">
        <x:f>IF(I285="","Active","Exited")</x:f>
        <x:v>Exited</x:v>
      </x:c>
      <x:c r="L285" s="16" t="n">
        <x:f>(YEAR(IF(I285="",TODAY(),I285))-YEAR(H285))*12+MONTH(IF(I285="",TODAY(),I285))-MONTH(H285)</x:f>
        <x:v>43</x:v>
      </x:c>
      <x:c r="M285" s="36" t="n">
        <x:f>DATE(YEAR(H285),MONTH(H285),1)</x:f>
        <x:v>44713</x:v>
      </x:c>
      <x:c r="N285" s="36" t="n">
        <x:f>IF(I285="","",DATE(YEAR(I285),MONTH(I285),1))</x:f>
        <x:v>46023</x:v>
      </x:c>
    </x:row>
    <x:row r="286">
      <x:c r="A286" s="16" t="str">
        <x:v>HG-01285</x:v>
      </x:c>
      <x:c r="B286" s="16" t="str">
        <x:v>Sadia Miah</x:v>
      </x:c>
      <x:c r="C286" s="16" t="str">
        <x:v>Female</x:v>
      </x:c>
      <x:c r="D286" s="16" t="str">
        <x:v>Production</x:v>
      </x:c>
      <x:c r="E286" s="16" t="str">
        <x:v>Production Operator</x:v>
      </x:c>
      <x:c r="F286" s="16" t="str">
        <x:v>Chattogram Office</x:v>
      </x:c>
      <x:c r="G286" s="16" t="str">
        <x:v>Permanent</x:v>
      </x:c>
      <x:c r="H286" s="35" t="n">
        <x:v>45036</x:v>
      </x:c>
      <x:c r="I286" s="35"/>
      <x:c r="J286" s="16" t="str"/>
      <x:c r="K286" s="16" t="str">
        <x:f>IF(I286="","Active","Exited")</x:f>
        <x:v>Active</x:v>
      </x:c>
      <x:c r="L286" s="16" t="n">
        <x:f>(YEAR(IF(I286="",TODAY(),I286))-YEAR(H286))*12+MONTH(IF(I286="",TODAY(),I286))-MONTH(H286)</x:f>
        <x:v>39</x:v>
      </x:c>
      <x:c r="M286" s="36" t="n">
        <x:f>DATE(YEAR(H286),MONTH(H286),1)</x:f>
        <x:v>45017</x:v>
      </x:c>
      <x:c r="N286" s="36" t="str">
        <x:f>IF(I286="","",DATE(YEAR(I286),MONTH(I286),1))</x:f>
      </x:c>
    </x:row>
    <x:row r="287">
      <x:c r="A287" s="16" t="str">
        <x:v>HG-01286</x:v>
      </x:c>
      <x:c r="B287" s="16" t="str">
        <x:v>Rashed Chowdhury</x:v>
      </x:c>
      <x:c r="C287" s="16" t="str">
        <x:v>Male</x:v>
      </x:c>
      <x:c r="D287" s="16" t="str">
        <x:v>Supply Chain</x:v>
      </x:c>
      <x:c r="E287" s="16" t="str">
        <x:v>Inventory Officer</x:v>
      </x:c>
      <x:c r="F287" s="16" t="str">
        <x:v>Gazipur Plant</x:v>
      </x:c>
      <x:c r="G287" s="16" t="str">
        <x:v>Permanent</x:v>
      </x:c>
      <x:c r="H287" s="35" t="n">
        <x:v>45632</x:v>
      </x:c>
      <x:c r="I287" s="35"/>
      <x:c r="J287" s="16" t="str"/>
      <x:c r="K287" s="16" t="str">
        <x:f>IF(I287="","Active","Exited")</x:f>
        <x:v>Active</x:v>
      </x:c>
      <x:c r="L287" s="16" t="n">
        <x:f>(YEAR(IF(I287="",TODAY(),I287))-YEAR(H287))*12+MONTH(IF(I287="",TODAY(),I287))-MONTH(H287)</x:f>
        <x:v>19</x:v>
      </x:c>
      <x:c r="M287" s="36" t="n">
        <x:f>DATE(YEAR(H287),MONTH(H287),1)</x:f>
        <x:v>45627</x:v>
      </x:c>
      <x:c r="N287" s="36" t="str">
        <x:f>IF(I287="","",DATE(YEAR(I287),MONTH(I287),1))</x:f>
      </x:c>
    </x:row>
    <x:row r="288">
      <x:c r="A288" s="16" t="str">
        <x:v>HG-01287</x:v>
      </x:c>
      <x:c r="B288" s="16" t="str">
        <x:v>Rafi Islam</x:v>
      </x:c>
      <x:c r="C288" s="16" t="str">
        <x:v>Male</x:v>
      </x:c>
      <x:c r="D288" s="16" t="str">
        <x:v>Administration</x:v>
      </x:c>
      <x:c r="E288" s="16" t="str">
        <x:v>Admin Assistant</x:v>
      </x:c>
      <x:c r="F288" s="16" t="str">
        <x:v>Dhaka Head Office</x:v>
      </x:c>
      <x:c r="G288" s="16" t="str">
        <x:v>Permanent</x:v>
      </x:c>
      <x:c r="H288" s="35" t="n">
        <x:v>42846</x:v>
      </x:c>
      <x:c r="I288" s="35"/>
      <x:c r="J288" s="16" t="str"/>
      <x:c r="K288" s="16" t="str">
        <x:f>IF(I288="","Active","Exited")</x:f>
        <x:v>Active</x:v>
      </x:c>
      <x:c r="L288" s="16" t="n">
        <x:f>(YEAR(IF(I288="",TODAY(),I288))-YEAR(H288))*12+MONTH(IF(I288="",TODAY(),I288))-MONTH(H288)</x:f>
        <x:v>111</x:v>
      </x:c>
      <x:c r="M288" s="36" t="n">
        <x:f>DATE(YEAR(H288),MONTH(H288),1)</x:f>
        <x:v>42826</x:v>
      </x:c>
      <x:c r="N288" s="36" t="str">
        <x:f>IF(I288="","",DATE(YEAR(I288),MONTH(I288),1))</x:f>
      </x:c>
    </x:row>
    <x:row r="289">
      <x:c r="A289" s="16" t="str">
        <x:v>HG-01288</x:v>
      </x:c>
      <x:c r="B289" s="16" t="str">
        <x:v>Shakil Begum</x:v>
      </x:c>
      <x:c r="C289" s="16" t="str">
        <x:v>Male</x:v>
      </x:c>
      <x:c r="D289" s="16" t="str">
        <x:v>Sales &amp; Marketing</x:v>
      </x:c>
      <x:c r="E289" s="16" t="str">
        <x:v>Territory Officer</x:v>
      </x:c>
      <x:c r="F289" s="16" t="str">
        <x:v>Dhaka Head Office</x:v>
      </x:c>
      <x:c r="G289" s="16" t="str">
        <x:v>Contract</x:v>
      </x:c>
      <x:c r="H289" s="35" t="n">
        <x:v>44236</x:v>
      </x:c>
      <x:c r="I289" s="35" t="n">
        <x:v>46064</x:v>
      </x:c>
      <x:c r="J289" s="16" t="str">
        <x:v>Personal / Family</x:v>
      </x:c>
      <x:c r="K289" s="16" t="str">
        <x:f>IF(I289="","Active","Exited")</x:f>
        <x:v>Exited</x:v>
      </x:c>
      <x:c r="L289" s="16" t="n">
        <x:f>(YEAR(IF(I289="",TODAY(),I289))-YEAR(H289))*12+MONTH(IF(I289="",TODAY(),I289))-MONTH(H289)</x:f>
        <x:v>60</x:v>
      </x:c>
      <x:c r="M289" s="36" t="n">
        <x:f>DATE(YEAR(H289),MONTH(H289),1)</x:f>
        <x:v>44228</x:v>
      </x:c>
      <x:c r="N289" s="36" t="n">
        <x:f>IF(I289="","",DATE(YEAR(I289),MONTH(I289),1))</x:f>
        <x:v>46054</x:v>
      </x:c>
    </x:row>
    <x:row r="290">
      <x:c r="A290" s="16" t="str">
        <x:v>HG-01289</x:v>
      </x:c>
      <x:c r="B290" s="16" t="str">
        <x:v>Asif Begum</x:v>
      </x:c>
      <x:c r="C290" s="16" t="str">
        <x:v>Male</x:v>
      </x:c>
      <x:c r="D290" s="16" t="str">
        <x:v>Administration</x:v>
      </x:c>
      <x:c r="E290" s="16" t="str">
        <x:v>Admin Executive</x:v>
      </x:c>
      <x:c r="F290" s="16" t="str">
        <x:v>Dhaka Head Office</x:v>
      </x:c>
      <x:c r="G290" s="16" t="str">
        <x:v>Permanent</x:v>
      </x:c>
      <x:c r="H290" s="35" t="n">
        <x:v>44995</x:v>
      </x:c>
      <x:c r="I290" s="35" t="n">
        <x:v>45781</x:v>
      </x:c>
      <x:c r="J290" s="16" t="str">
        <x:v>Compensation &amp; Benefits</x:v>
      </x:c>
      <x:c r="K290" s="16" t="str">
        <x:f>IF(I290="","Active","Exited")</x:f>
        <x:v>Exited</x:v>
      </x:c>
      <x:c r="L290" s="16" t="n">
        <x:f>(YEAR(IF(I290="",TODAY(),I290))-YEAR(H290))*12+MONTH(IF(I290="",TODAY(),I290))-MONTH(H290)</x:f>
        <x:v>26</x:v>
      </x:c>
      <x:c r="M290" s="36" t="n">
        <x:f>DATE(YEAR(H290),MONTH(H290),1)</x:f>
        <x:v>44986</x:v>
      </x:c>
      <x:c r="N290" s="36" t="n">
        <x:f>IF(I290="","",DATE(YEAR(I290),MONTH(I290),1))</x:f>
        <x:v>45778</x:v>
      </x:c>
    </x:row>
    <x:row r="291">
      <x:c r="A291" s="16" t="str">
        <x:v>HG-01290</x:v>
      </x:c>
      <x:c r="B291" s="16" t="str">
        <x:v>Arif Hossain</x:v>
      </x:c>
      <x:c r="C291" s="16" t="str">
        <x:v>Male</x:v>
      </x:c>
      <x:c r="D291" s="16" t="str">
        <x:v>Administration</x:v>
      </x:c>
      <x:c r="E291" s="16" t="str">
        <x:v>Senior Admin Executive</x:v>
      </x:c>
      <x:c r="F291" s="16" t="str">
        <x:v>Dhaka Head Office</x:v>
      </x:c>
      <x:c r="G291" s="16" t="str">
        <x:v>Permanent</x:v>
      </x:c>
      <x:c r="H291" s="35" t="n">
        <x:v>44832</x:v>
      </x:c>
      <x:c r="I291" s="35" t="n">
        <x:v>45900</x:v>
      </x:c>
      <x:c r="J291" s="16" t="str">
        <x:v>Personal / Family</x:v>
      </x:c>
      <x:c r="K291" s="16" t="str">
        <x:f>IF(I291="","Active","Exited")</x:f>
        <x:v>Exited</x:v>
      </x:c>
      <x:c r="L291" s="16" t="n">
        <x:f>(YEAR(IF(I291="",TODAY(),I291))-YEAR(H291))*12+MONTH(IF(I291="",TODAY(),I291))-MONTH(H291)</x:f>
        <x:v>35</x:v>
      </x:c>
      <x:c r="M291" s="36" t="n">
        <x:f>DATE(YEAR(H291),MONTH(H291),1)</x:f>
        <x:v>44805</x:v>
      </x:c>
      <x:c r="N291" s="36" t="n">
        <x:f>IF(I291="","",DATE(YEAR(I291),MONTH(I291),1))</x:f>
        <x:v>45870</x:v>
      </x:c>
    </x:row>
    <x:row r="292">
      <x:c r="A292" s="16" t="str">
        <x:v>HG-01291</x:v>
      </x:c>
      <x:c r="B292" s="16" t="str">
        <x:v>Rafi Khan</x:v>
      </x:c>
      <x:c r="C292" s="16" t="str">
        <x:v>Male</x:v>
      </x:c>
      <x:c r="D292" s="16" t="str">
        <x:v>Production</x:v>
      </x:c>
      <x:c r="E292" s="16" t="str">
        <x:v>Production Operator</x:v>
      </x:c>
      <x:c r="F292" s="16" t="str">
        <x:v>Dhaka Head Office</x:v>
      </x:c>
      <x:c r="G292" s="16" t="str">
        <x:v>Permanent</x:v>
      </x:c>
      <x:c r="H292" s="35" t="n">
        <x:v>44751</x:v>
      </x:c>
      <x:c r="I292" s="35" t="n">
        <x:v>45828</x:v>
      </x:c>
      <x:c r="J292" s="16" t="str">
        <x:v>Better Opportunity</x:v>
      </x:c>
      <x:c r="K292" s="16" t="str">
        <x:f>IF(I292="","Active","Exited")</x:f>
        <x:v>Exited</x:v>
      </x:c>
      <x:c r="L292" s="16" t="n">
        <x:f>(YEAR(IF(I292="",TODAY(),I292))-YEAR(H292))*12+MONTH(IF(I292="",TODAY(),I292))-MONTH(H292)</x:f>
        <x:v>35</x:v>
      </x:c>
      <x:c r="M292" s="36" t="n">
        <x:f>DATE(YEAR(H292),MONTH(H292),1)</x:f>
        <x:v>44743</x:v>
      </x:c>
      <x:c r="N292" s="36" t="n">
        <x:f>IF(I292="","",DATE(YEAR(I292),MONTH(I292),1))</x:f>
        <x:v>45809</x:v>
      </x:c>
    </x:row>
    <x:row r="293">
      <x:c r="A293" s="16" t="str">
        <x:v>HG-01292</x:v>
      </x:c>
      <x:c r="B293" s="16" t="str">
        <x:v>Sumaiya Uddin</x:v>
      </x:c>
      <x:c r="C293" s="16" t="str">
        <x:v>Female</x:v>
      </x:c>
      <x:c r="D293" s="16" t="str">
        <x:v>Information Technology</x:v>
      </x:c>
      <x:c r="E293" s="16" t="str">
        <x:v>IT Support Executive</x:v>
      </x:c>
      <x:c r="F293" s="16" t="str">
        <x:v>Dhaka Head Office</x:v>
      </x:c>
      <x:c r="G293" s="16" t="str">
        <x:v>Permanent</x:v>
      </x:c>
      <x:c r="H293" s="35" t="n">
        <x:v>44345</x:v>
      </x:c>
      <x:c r="I293" s="35"/>
      <x:c r="J293" s="16" t="str"/>
      <x:c r="K293" s="16" t="str">
        <x:f>IF(I293="","Active","Exited")</x:f>
        <x:v>Active</x:v>
      </x:c>
      <x:c r="L293" s="16" t="n">
        <x:f>(YEAR(IF(I293="",TODAY(),I293))-YEAR(H293))*12+MONTH(IF(I293="",TODAY(),I293))-MONTH(H293)</x:f>
        <x:v>62</x:v>
      </x:c>
      <x:c r="M293" s="36" t="n">
        <x:f>DATE(YEAR(H293),MONTH(H293),1)</x:f>
        <x:v>44317</x:v>
      </x:c>
      <x:c r="N293" s="36" t="str">
        <x:f>IF(I293="","",DATE(YEAR(I293),MONTH(I293),1))</x:f>
      </x:c>
    </x:row>
    <x:row r="294">
      <x:c r="A294" s="16" t="str">
        <x:v>HG-01293</x:v>
      </x:c>
      <x:c r="B294" s="16" t="str">
        <x:v>Shakil Alam</x:v>
      </x:c>
      <x:c r="C294" s="16" t="str">
        <x:v>Male</x:v>
      </x:c>
      <x:c r="D294" s="16" t="str">
        <x:v>Sales &amp; Marketing</x:v>
      </x:c>
      <x:c r="E294" s="16" t="str">
        <x:v>Assistant Manager - Sales</x:v>
      </x:c>
      <x:c r="F294" s="16" t="str">
        <x:v>Dhaka Head Office</x:v>
      </x:c>
      <x:c r="G294" s="16" t="str">
        <x:v>Permanent</x:v>
      </x:c>
      <x:c r="H294" s="35" t="n">
        <x:v>43218</x:v>
      </x:c>
      <x:c r="I294" s="35"/>
      <x:c r="J294" s="16" t="str"/>
      <x:c r="K294" s="16" t="str">
        <x:f>IF(I294="","Active","Exited")</x:f>
        <x:v>Active</x:v>
      </x:c>
      <x:c r="L294" s="16" t="n">
        <x:f>(YEAR(IF(I294="",TODAY(),I294))-YEAR(H294))*12+MONTH(IF(I294="",TODAY(),I294))-MONTH(H294)</x:f>
        <x:v>99</x:v>
      </x:c>
      <x:c r="M294" s="36" t="n">
        <x:f>DATE(YEAR(H294),MONTH(H294),1)</x:f>
        <x:v>43191</x:v>
      </x:c>
      <x:c r="N294" s="36" t="str">
        <x:f>IF(I294="","",DATE(YEAR(I294),MONTH(I294),1))</x:f>
      </x:c>
    </x:row>
    <x:row r="295">
      <x:c r="A295" s="16" t="str">
        <x:v>HG-01294</x:v>
      </x:c>
      <x:c r="B295" s="16" t="str">
        <x:v>Imran Kabir</x:v>
      </x:c>
      <x:c r="C295" s="16" t="str">
        <x:v>Male</x:v>
      </x:c>
      <x:c r="D295" s="16" t="str">
        <x:v>Supply Chain</x:v>
      </x:c>
      <x:c r="E295" s="16" t="str">
        <x:v>Senior Supply Chain Executive</x:v>
      </x:c>
      <x:c r="F295" s="16" t="str">
        <x:v>Gazipur Plant</x:v>
      </x:c>
      <x:c r="G295" s="16" t="str">
        <x:v>Contract</x:v>
      </x:c>
      <x:c r="H295" s="35" t="n">
        <x:v>44171</x:v>
      </x:c>
      <x:c r="I295" s="35"/>
      <x:c r="J295" s="16" t="str"/>
      <x:c r="K295" s="16" t="str">
        <x:f>IF(I295="","Active","Exited")</x:f>
        <x:v>Active</x:v>
      </x:c>
      <x:c r="L295" s="16" t="n">
        <x:f>(YEAR(IF(I295="",TODAY(),I295))-YEAR(H295))*12+MONTH(IF(I295="",TODAY(),I295))-MONTH(H295)</x:f>
        <x:v>67</x:v>
      </x:c>
      <x:c r="M295" s="36" t="n">
        <x:f>DATE(YEAR(H295),MONTH(H295),1)</x:f>
        <x:v>44166</x:v>
      </x:c>
      <x:c r="N295" s="36" t="str">
        <x:f>IF(I295="","",DATE(YEAR(I295),MONTH(I295),1))</x:f>
      </x:c>
    </x:row>
    <x:row r="296">
      <x:c r="A296" s="16" t="str">
        <x:v>HG-01295</x:v>
      </x:c>
      <x:c r="B296" s="16" t="str">
        <x:v>Mehedi Hasan</x:v>
      </x:c>
      <x:c r="C296" s="16" t="str">
        <x:v>Male</x:v>
      </x:c>
      <x:c r="D296" s="16" t="str">
        <x:v>Human Resources</x:v>
      </x:c>
      <x:c r="E296" s="16" t="str">
        <x:v>Senior HR Executive</x:v>
      </x:c>
      <x:c r="F296" s="16" t="str">
        <x:v>Dhaka Head Office</x:v>
      </x:c>
      <x:c r="G296" s="16" t="str">
        <x:v>Contract</x:v>
      </x:c>
      <x:c r="H296" s="35" t="n">
        <x:v>43261</x:v>
      </x:c>
      <x:c r="I296" s="35"/>
      <x:c r="J296" s="16" t="str"/>
      <x:c r="K296" s="16" t="str">
        <x:f>IF(I296="","Active","Exited")</x:f>
        <x:v>Active</x:v>
      </x:c>
      <x:c r="L296" s="16" t="n">
        <x:f>(YEAR(IF(I296="",TODAY(),I296))-YEAR(H296))*12+MONTH(IF(I296="",TODAY(),I296))-MONTH(H296)</x:f>
        <x:v>97</x:v>
      </x:c>
      <x:c r="M296" s="36" t="n">
        <x:f>DATE(YEAR(H296),MONTH(H296),1)</x:f>
        <x:v>43252</x:v>
      </x:c>
      <x:c r="N296" s="36" t="str">
        <x:f>IF(I296="","",DATE(YEAR(I296),MONTH(I296),1))</x:f>
      </x:c>
    </x:row>
    <x:row r="297">
      <x:c r="A297" s="16" t="str">
        <x:v>HG-01296</x:v>
      </x:c>
      <x:c r="B297" s="16" t="str">
        <x:v>Foysal Ahmed</x:v>
      </x:c>
      <x:c r="C297" s="16" t="str">
        <x:v>Male</x:v>
      </x:c>
      <x:c r="D297" s="16" t="str">
        <x:v>Production</x:v>
      </x:c>
      <x:c r="E297" s="16" t="str">
        <x:v>Production Operator</x:v>
      </x:c>
      <x:c r="F297" s="16" t="str">
        <x:v>Gazipur Plant</x:v>
      </x:c>
      <x:c r="G297" s="16" t="str">
        <x:v>Permanent</x:v>
      </x:c>
      <x:c r="H297" s="35" t="n">
        <x:v>44230</x:v>
      </x:c>
      <x:c r="I297" s="35"/>
      <x:c r="J297" s="16" t="str"/>
      <x:c r="K297" s="16" t="str">
        <x:f>IF(I297="","Active","Exited")</x:f>
        <x:v>Active</x:v>
      </x:c>
      <x:c r="L297" s="16" t="n">
        <x:f>(YEAR(IF(I297="",TODAY(),I297))-YEAR(H297))*12+MONTH(IF(I297="",TODAY(),I297))-MONTH(H297)</x:f>
        <x:v>65</x:v>
      </x:c>
      <x:c r="M297" s="36" t="n">
        <x:f>DATE(YEAR(H297),MONTH(H297),1)</x:f>
        <x:v>44228</x:v>
      </x:c>
      <x:c r="N297" s="36" t="str">
        <x:f>IF(I297="","",DATE(YEAR(I297),MONTH(I297),1))</x:f>
      </x:c>
    </x:row>
    <x:row r="298">
      <x:c r="A298" s="16" t="str">
        <x:v>HG-01297</x:v>
      </x:c>
      <x:c r="B298" s="16" t="str">
        <x:v>Rakib Sarker</x:v>
      </x:c>
      <x:c r="C298" s="16" t="str">
        <x:v>Male</x:v>
      </x:c>
      <x:c r="D298" s="16" t="str">
        <x:v>Finance &amp; Accounts</x:v>
      </x:c>
      <x:c r="E298" s="16" t="str">
        <x:v>Senior Accounts Executive</x:v>
      </x:c>
      <x:c r="F298" s="16" t="str">
        <x:v>Gazipur Plant</x:v>
      </x:c>
      <x:c r="G298" s="16" t="str">
        <x:v>Contract</x:v>
      </x:c>
      <x:c r="H298" s="35" t="n">
        <x:v>43486</x:v>
      </x:c>
      <x:c r="I298" s="35" t="n">
        <x:v>45783</x:v>
      </x:c>
      <x:c r="J298" s="16" t="str">
        <x:v>Compensation &amp; Benefits</x:v>
      </x:c>
      <x:c r="K298" s="16" t="str">
        <x:f>IF(I298="","Active","Exited")</x:f>
        <x:v>Exited</x:v>
      </x:c>
      <x:c r="L298" s="16" t="n">
        <x:f>(YEAR(IF(I298="",TODAY(),I298))-YEAR(H298))*12+MONTH(IF(I298="",TODAY(),I298))-MONTH(H298)</x:f>
        <x:v>76</x:v>
      </x:c>
      <x:c r="M298" s="36" t="n">
        <x:f>DATE(YEAR(H298),MONTH(H298),1)</x:f>
        <x:v>43466</x:v>
      </x:c>
      <x:c r="N298" s="36" t="n">
        <x:f>IF(I298="","",DATE(YEAR(I298),MONTH(I298),1))</x:f>
        <x:v>45778</x:v>
      </x:c>
    </x:row>
    <x:row r="299">
      <x:c r="A299" s="16" t="str">
        <x:v>HG-01298</x:v>
      </x:c>
      <x:c r="B299" s="16" t="str">
        <x:v>Mehedi Alam</x:v>
      </x:c>
      <x:c r="C299" s="16" t="str">
        <x:v>Male</x:v>
      </x:c>
      <x:c r="D299" s="16" t="str">
        <x:v>Finance &amp; Accounts</x:v>
      </x:c>
      <x:c r="E299" s="16" t="str">
        <x:v>Payroll Executive</x:v>
      </x:c>
      <x:c r="F299" s="16" t="str">
        <x:v>Dhaka Head Office</x:v>
      </x:c>
      <x:c r="G299" s="16" t="str">
        <x:v>Permanent</x:v>
      </x:c>
      <x:c r="H299" s="35" t="n">
        <x:v>45096</x:v>
      </x:c>
      <x:c r="I299" s="35"/>
      <x:c r="J299" s="16" t="str"/>
      <x:c r="K299" s="16" t="str">
        <x:f>IF(I299="","Active","Exited")</x:f>
        <x:v>Active</x:v>
      </x:c>
      <x:c r="L299" s="16" t="n">
        <x:f>(YEAR(IF(I299="",TODAY(),I299))-YEAR(H299))*12+MONTH(IF(I299="",TODAY(),I299))-MONTH(H299)</x:f>
        <x:v>37</x:v>
      </x:c>
      <x:c r="M299" s="36" t="n">
        <x:f>DATE(YEAR(H299),MONTH(H299),1)</x:f>
        <x:v>45078</x:v>
      </x:c>
      <x:c r="N299" s="36" t="str">
        <x:f>IF(I299="","",DATE(YEAR(I299),MONTH(I299),1))</x:f>
      </x:c>
    </x:row>
    <x:row r="300">
      <x:c r="A300" s="16" t="str">
        <x:v>HG-01299</x:v>
      </x:c>
      <x:c r="B300" s="16" t="str">
        <x:v>Mehedi Rahman</x:v>
      </x:c>
      <x:c r="C300" s="16" t="str">
        <x:v>Male</x:v>
      </x:c>
      <x:c r="D300" s="16" t="str">
        <x:v>Sales &amp; Marketing</x:v>
      </x:c>
      <x:c r="E300" s="16" t="str">
        <x:v>Assistant Manager - Sales</x:v>
      </x:c>
      <x:c r="F300" s="16" t="str">
        <x:v>Dhaka Head Office</x:v>
      </x:c>
      <x:c r="G300" s="16" t="str">
        <x:v>Permanent</x:v>
      </x:c>
      <x:c r="H300" s="35" t="n">
        <x:v>44010</x:v>
      </x:c>
      <x:c r="I300" s="35"/>
      <x:c r="J300" s="16" t="str"/>
      <x:c r="K300" s="16" t="str">
        <x:f>IF(I300="","Active","Exited")</x:f>
        <x:v>Active</x:v>
      </x:c>
      <x:c r="L300" s="16" t="n">
        <x:f>(YEAR(IF(I300="",TODAY(),I300))-YEAR(H300))*12+MONTH(IF(I300="",TODAY(),I300))-MONTH(H300)</x:f>
        <x:v>73</x:v>
      </x:c>
      <x:c r="M300" s="36" t="n">
        <x:f>DATE(YEAR(H300),MONTH(H300),1)</x:f>
        <x:v>43983</x:v>
      </x:c>
      <x:c r="N300" s="36" t="str">
        <x:f>IF(I300="","",DATE(YEAR(I300),MONTH(I300),1))</x:f>
      </x:c>
    </x:row>
    <x:row r="301">
      <x:c r="A301" s="16" t="str">
        <x:v>HG-01300</x:v>
      </x:c>
      <x:c r="B301" s="16" t="str">
        <x:v>Sadika Islam</x:v>
      </x:c>
      <x:c r="C301" s="16" t="str">
        <x:v>Female</x:v>
      </x:c>
      <x:c r="D301" s="16" t="str">
        <x:v>Sales &amp; Marketing</x:v>
      </x:c>
      <x:c r="E301" s="16" t="str">
        <x:v>Territory Officer</x:v>
      </x:c>
      <x:c r="F301" s="16" t="str">
        <x:v>Dhaka Head Office</x:v>
      </x:c>
      <x:c r="G301" s="16" t="str">
        <x:v>Probation</x:v>
      </x:c>
      <x:c r="H301" s="35" t="n">
        <x:v>43005</x:v>
      </x:c>
      <x:c r="I301" s="35" t="n">
        <x:v>45987</x:v>
      </x:c>
      <x:c r="J301" s="16" t="str">
        <x:v>Career Growth</x:v>
      </x:c>
      <x:c r="K301" s="16" t="str">
        <x:f>IF(I301="","Active","Exited")</x:f>
        <x:v>Exited</x:v>
      </x:c>
      <x:c r="L301" s="16" t="n">
        <x:f>(YEAR(IF(I301="",TODAY(),I301))-YEAR(H301))*12+MONTH(IF(I301="",TODAY(),I301))-MONTH(H301)</x:f>
        <x:v>98</x:v>
      </x:c>
      <x:c r="M301" s="36" t="n">
        <x:f>DATE(YEAR(H301),MONTH(H301),1)</x:f>
        <x:v>42979</x:v>
      </x:c>
      <x:c r="N301" s="36" t="n">
        <x:f>IF(I301="","",DATE(YEAR(I301),MONTH(I301),1))</x:f>
        <x:v>45962</x:v>
      </x:c>
    </x:row>
    <x:row r="302">
      <x:c r="A302" s="16" t="str">
        <x:v>HG-01301</x:v>
      </x:c>
      <x:c r="B302" s="16" t="str">
        <x:v>Mizan Hasan</x:v>
      </x:c>
      <x:c r="C302" s="16" t="str">
        <x:v>Male</x:v>
      </x:c>
      <x:c r="D302" s="16" t="str">
        <x:v>Administration</x:v>
      </x:c>
      <x:c r="E302" s="16" t="str">
        <x:v>Assistant Manager - Admin</x:v>
      </x:c>
      <x:c r="F302" s="16" t="str">
        <x:v>Dhaka Head Office</x:v>
      </x:c>
      <x:c r="G302" s="16" t="str">
        <x:v>Permanent</x:v>
      </x:c>
      <x:c r="H302" s="35" t="n">
        <x:v>44993</x:v>
      </x:c>
      <x:c r="I302" s="35"/>
      <x:c r="J302" s="16" t="str"/>
      <x:c r="K302" s="16" t="str">
        <x:f>IF(I302="","Active","Exited")</x:f>
        <x:v>Active</x:v>
      </x:c>
      <x:c r="L302" s="16" t="n">
        <x:f>(YEAR(IF(I302="",TODAY(),I302))-YEAR(H302))*12+MONTH(IF(I302="",TODAY(),I302))-MONTH(H302)</x:f>
        <x:v>40</x:v>
      </x:c>
      <x:c r="M302" s="36" t="n">
        <x:f>DATE(YEAR(H302),MONTH(H302),1)</x:f>
        <x:v>44986</x:v>
      </x:c>
      <x:c r="N302" s="36" t="str">
        <x:f>IF(I302="","",DATE(YEAR(I302),MONTH(I302),1))</x:f>
      </x:c>
    </x:row>
    <x:row r="303">
      <x:c r="A303" s="16" t="str">
        <x:v>HG-01302</x:v>
      </x:c>
      <x:c r="B303" s="16" t="str">
        <x:v>Arif Uddin</x:v>
      </x:c>
      <x:c r="C303" s="16" t="str">
        <x:v>Male</x:v>
      </x:c>
      <x:c r="D303" s="16" t="str">
        <x:v>Production</x:v>
      </x:c>
      <x:c r="E303" s="16" t="str">
        <x:v>Line Supervisor</x:v>
      </x:c>
      <x:c r="F303" s="16" t="str">
        <x:v>Narayanganj Plant</x:v>
      </x:c>
      <x:c r="G303" s="16" t="str">
        <x:v>Permanent</x:v>
      </x:c>
      <x:c r="H303" s="35" t="n">
        <x:v>45546</x:v>
      </x:c>
      <x:c r="I303" s="35"/>
      <x:c r="J303" s="16" t="str"/>
      <x:c r="K303" s="16" t="str">
        <x:f>IF(I303="","Active","Exited")</x:f>
        <x:v>Active</x:v>
      </x:c>
      <x:c r="L303" s="16" t="n">
        <x:f>(YEAR(IF(I303="",TODAY(),I303))-YEAR(H303))*12+MONTH(IF(I303="",TODAY(),I303))-MONTH(H303)</x:f>
        <x:v>22</x:v>
      </x:c>
      <x:c r="M303" s="36" t="n">
        <x:f>DATE(YEAR(H303),MONTH(H303),1)</x:f>
        <x:v>45536</x:v>
      </x:c>
      <x:c r="N303" s="36" t="str">
        <x:f>IF(I303="","",DATE(YEAR(I303),MONTH(I303),1))</x:f>
      </x:c>
    </x:row>
    <x:row r="304">
      <x:c r="A304" s="16" t="str">
        <x:v>HG-01303</x:v>
      </x:c>
      <x:c r="B304" s="16" t="str">
        <x:v>Sharmin Hossain</x:v>
      </x:c>
      <x:c r="C304" s="16" t="str">
        <x:v>Female</x:v>
      </x:c>
      <x:c r="D304" s="16" t="str">
        <x:v>Production</x:v>
      </x:c>
      <x:c r="E304" s="16" t="str">
        <x:v>Production Operator</x:v>
      </x:c>
      <x:c r="F304" s="16" t="str">
        <x:v>Narayanganj Plant</x:v>
      </x:c>
      <x:c r="G304" s="16" t="str">
        <x:v>Permanent</x:v>
      </x:c>
      <x:c r="H304" s="35" t="n">
        <x:v>42969</x:v>
      </x:c>
      <x:c r="I304" s="35" t="n">
        <x:v>45815</x:v>
      </x:c>
      <x:c r="J304" s="16" t="str">
        <x:v>Supervisor / Management</x:v>
      </x:c>
      <x:c r="K304" s="16" t="str">
        <x:f>IF(I304="","Active","Exited")</x:f>
        <x:v>Exited</x:v>
      </x:c>
      <x:c r="L304" s="16" t="n">
        <x:f>(YEAR(IF(I304="",TODAY(),I304))-YEAR(H304))*12+MONTH(IF(I304="",TODAY(),I304))-MONTH(H304)</x:f>
        <x:v>94</x:v>
      </x:c>
      <x:c r="M304" s="36" t="n">
        <x:f>DATE(YEAR(H304),MONTH(H304),1)</x:f>
        <x:v>42948</x:v>
      </x:c>
      <x:c r="N304" s="36" t="n">
        <x:f>IF(I304="","",DATE(YEAR(I304),MONTH(I304),1))</x:f>
        <x:v>45809</x:v>
      </x:c>
    </x:row>
    <x:row r="305">
      <x:c r="A305" s="16" t="str">
        <x:v>HG-01304</x:v>
      </x:c>
      <x:c r="B305" s="16" t="str">
        <x:v>Imran Islam</x:v>
      </x:c>
      <x:c r="C305" s="16" t="str">
        <x:v>Male</x:v>
      </x:c>
      <x:c r="D305" s="16" t="str">
        <x:v>Production</x:v>
      </x:c>
      <x:c r="E305" s="16" t="str">
        <x:v>Senior Operator</x:v>
      </x:c>
      <x:c r="F305" s="16" t="str">
        <x:v>Dhaka Head Office</x:v>
      </x:c>
      <x:c r="G305" s="16" t="str">
        <x:v>Permanent</x:v>
      </x:c>
      <x:c r="H305" s="35" t="n">
        <x:v>45627</x:v>
      </x:c>
      <x:c r="I305" s="35"/>
      <x:c r="J305" s="16" t="str"/>
      <x:c r="K305" s="16" t="str">
        <x:f>IF(I305="","Active","Exited")</x:f>
        <x:v>Active</x:v>
      </x:c>
      <x:c r="L305" s="16" t="n">
        <x:f>(YEAR(IF(I305="",TODAY(),I305))-YEAR(H305))*12+MONTH(IF(I305="",TODAY(),I305))-MONTH(H305)</x:f>
        <x:v>19</x:v>
      </x:c>
      <x:c r="M305" s="36" t="n">
        <x:f>DATE(YEAR(H305),MONTH(H305),1)</x:f>
        <x:v>45627</x:v>
      </x:c>
      <x:c r="N305" s="36" t="str">
        <x:f>IF(I305="","",DATE(YEAR(I305),MONTH(I305),1))</x:f>
      </x:c>
    </x:row>
    <x:row r="306">
      <x:c r="A306" s="16" t="str">
        <x:v>HG-01305</x:v>
      </x:c>
      <x:c r="B306" s="16" t="str">
        <x:v>Sabbir Hasan</x:v>
      </x:c>
      <x:c r="C306" s="16" t="str">
        <x:v>Male</x:v>
      </x:c>
      <x:c r="D306" s="16" t="str">
        <x:v>Administration</x:v>
      </x:c>
      <x:c r="E306" s="16" t="str">
        <x:v>Senior Admin Executive</x:v>
      </x:c>
      <x:c r="F306" s="16" t="str">
        <x:v>Gazipur Plant</x:v>
      </x:c>
      <x:c r="G306" s="16" t="str">
        <x:v>Permanent</x:v>
      </x:c>
      <x:c r="H306" s="35" t="n">
        <x:v>45081</x:v>
      </x:c>
      <x:c r="I306" s="35" t="n">
        <x:v>46047</x:v>
      </x:c>
      <x:c r="J306" s="16" t="str">
        <x:v>Better Opportunity</x:v>
      </x:c>
      <x:c r="K306" s="16" t="str">
        <x:f>IF(I306="","Active","Exited")</x:f>
        <x:v>Exited</x:v>
      </x:c>
      <x:c r="L306" s="16" t="n">
        <x:f>(YEAR(IF(I306="",TODAY(),I306))-YEAR(H306))*12+MONTH(IF(I306="",TODAY(),I306))-MONTH(H306)</x:f>
        <x:v>31</x:v>
      </x:c>
      <x:c r="M306" s="36" t="n">
        <x:f>DATE(YEAR(H306),MONTH(H306),1)</x:f>
        <x:v>45078</x:v>
      </x:c>
      <x:c r="N306" s="36" t="n">
        <x:f>IF(I306="","",DATE(YEAR(I306),MONTH(I306),1))</x:f>
        <x:v>46023</x:v>
      </x:c>
    </x:row>
    <x:row r="307">
      <x:c r="A307" s="16" t="str">
        <x:v>HG-01306</x:v>
      </x:c>
      <x:c r="B307" s="16" t="str">
        <x:v>Sajid Alam</x:v>
      </x:c>
      <x:c r="C307" s="16" t="str">
        <x:v>Male</x:v>
      </x:c>
      <x:c r="D307" s="16" t="str">
        <x:v>Production</x:v>
      </x:c>
      <x:c r="E307" s="16" t="str">
        <x:v>Senior Operator</x:v>
      </x:c>
      <x:c r="F307" s="16" t="str">
        <x:v>Narayanganj Plant</x:v>
      </x:c>
      <x:c r="G307" s="16" t="str">
        <x:v>Probation</x:v>
      </x:c>
      <x:c r="H307" s="35" t="n">
        <x:v>44273</x:v>
      </x:c>
      <x:c r="I307" s="35"/>
      <x:c r="J307" s="16" t="str"/>
      <x:c r="K307" s="16" t="str">
        <x:f>IF(I307="","Active","Exited")</x:f>
        <x:v>Active</x:v>
      </x:c>
      <x:c r="L307" s="16" t="n">
        <x:f>(YEAR(IF(I307="",TODAY(),I307))-YEAR(H307))*12+MONTH(IF(I307="",TODAY(),I307))-MONTH(H307)</x:f>
        <x:v>64</x:v>
      </x:c>
      <x:c r="M307" s="36" t="n">
        <x:f>DATE(YEAR(H307),MONTH(H307),1)</x:f>
        <x:v>44256</x:v>
      </x:c>
      <x:c r="N307" s="36" t="str">
        <x:f>IF(I307="","",DATE(YEAR(I307),MONTH(I307),1))</x:f>
      </x:c>
    </x:row>
    <x:row r="308">
      <x:c r="A308" s="16" t="str">
        <x:v>HG-01307</x:v>
      </x:c>
      <x:c r="B308" s="16" t="str">
        <x:v>Sadia Rahman</x:v>
      </x:c>
      <x:c r="C308" s="16" t="str">
        <x:v>Female</x:v>
      </x:c>
      <x:c r="D308" s="16" t="str">
        <x:v>Administration</x:v>
      </x:c>
      <x:c r="E308" s="16" t="str">
        <x:v>Assistant Manager - Admin</x:v>
      </x:c>
      <x:c r="F308" s="16" t="str">
        <x:v>Dhaka Head Office</x:v>
      </x:c>
      <x:c r="G308" s="16" t="str">
        <x:v>Permanent</x:v>
      </x:c>
      <x:c r="H308" s="35" t="n">
        <x:v>44292</x:v>
      </x:c>
      <x:c r="I308" s="35" t="n">
        <x:v>46156</x:v>
      </x:c>
      <x:c r="J308" s="16" t="str">
        <x:v>End of Contract</x:v>
      </x:c>
      <x:c r="K308" s="16" t="str">
        <x:f>IF(I308="","Active","Exited")</x:f>
        <x:v>Exited</x:v>
      </x:c>
      <x:c r="L308" s="16" t="n">
        <x:f>(YEAR(IF(I308="",TODAY(),I308))-YEAR(H308))*12+MONTH(IF(I308="",TODAY(),I308))-MONTH(H308)</x:f>
        <x:v>61</x:v>
      </x:c>
      <x:c r="M308" s="36" t="n">
        <x:f>DATE(YEAR(H308),MONTH(H308),1)</x:f>
        <x:v>44287</x:v>
      </x:c>
      <x:c r="N308" s="36" t="n">
        <x:f>IF(I308="","",DATE(YEAR(I308),MONTH(I308),1))</x:f>
        <x:v>46143</x:v>
      </x:c>
    </x:row>
    <x:row r="309">
      <x:c r="A309" s="16" t="str">
        <x:v>HG-01308</x:v>
      </x:c>
      <x:c r="B309" s="16" t="str">
        <x:v>Nazmul Chowdhury</x:v>
      </x:c>
      <x:c r="C309" s="16" t="str">
        <x:v>Male</x:v>
      </x:c>
      <x:c r="D309" s="16" t="str">
        <x:v>Administration</x:v>
      </x:c>
      <x:c r="E309" s="16" t="str">
        <x:v>Assistant Manager - Admin</x:v>
      </x:c>
      <x:c r="F309" s="16" t="str">
        <x:v>Dhaka Head Office</x:v>
      </x:c>
      <x:c r="G309" s="16" t="str">
        <x:v>Permanent</x:v>
      </x:c>
      <x:c r="H309" s="35" t="n">
        <x:v>43699</x:v>
      </x:c>
      <x:c r="I309" s="35"/>
      <x:c r="J309" s="16" t="str"/>
      <x:c r="K309" s="16" t="str">
        <x:f>IF(I309="","Active","Exited")</x:f>
        <x:v>Active</x:v>
      </x:c>
      <x:c r="L309" s="16" t="n">
        <x:f>(YEAR(IF(I309="",TODAY(),I309))-YEAR(H309))*12+MONTH(IF(I309="",TODAY(),I309))-MONTH(H309)</x:f>
        <x:v>83</x:v>
      </x:c>
      <x:c r="M309" s="36" t="n">
        <x:f>DATE(YEAR(H309),MONTH(H309),1)</x:f>
        <x:v>43678</x:v>
      </x:c>
      <x:c r="N309" s="36" t="str">
        <x:f>IF(I309="","",DATE(YEAR(I309),MONTH(I309),1))</x:f>
      </x:c>
    </x:row>
    <x:row r="310">
      <x:c r="A310" s="16" t="str">
        <x:v>HG-01309</x:v>
      </x:c>
      <x:c r="B310" s="16" t="str">
        <x:v>Fahim Ahmed</x:v>
      </x:c>
      <x:c r="C310" s="16" t="str">
        <x:v>Male</x:v>
      </x:c>
      <x:c r="D310" s="16" t="str">
        <x:v>Supply Chain</x:v>
      </x:c>
      <x:c r="E310" s="16" t="str">
        <x:v>Procurement Executive</x:v>
      </x:c>
      <x:c r="F310" s="16" t="str">
        <x:v>Narayanganj Plant</x:v>
      </x:c>
      <x:c r="G310" s="16" t="str">
        <x:v>Contract</x:v>
      </x:c>
      <x:c r="H310" s="35" t="n">
        <x:v>43989</x:v>
      </x:c>
      <x:c r="I310" s="35" t="n">
        <x:v>45901</x:v>
      </x:c>
      <x:c r="J310" s="16" t="str">
        <x:v>Relocation</x:v>
      </x:c>
      <x:c r="K310" s="16" t="str">
        <x:f>IF(I310="","Active","Exited")</x:f>
        <x:v>Exited</x:v>
      </x:c>
      <x:c r="L310" s="16" t="n">
        <x:f>(YEAR(IF(I310="",TODAY(),I310))-YEAR(H310))*12+MONTH(IF(I310="",TODAY(),I310))-MONTH(H310)</x:f>
        <x:v>63</x:v>
      </x:c>
      <x:c r="M310" s="36" t="n">
        <x:f>DATE(YEAR(H310),MONTH(H310),1)</x:f>
        <x:v>43983</x:v>
      </x:c>
      <x:c r="N310" s="36" t="n">
        <x:f>IF(I310="","",DATE(YEAR(I310),MONTH(I310),1))</x:f>
        <x:v>45901</x:v>
      </x:c>
    </x:row>
    <x:row r="311">
      <x:c r="A311" s="16" t="str">
        <x:v>HG-01310</x:v>
      </x:c>
      <x:c r="B311" s="16" t="str">
        <x:v>Hasan Islam</x:v>
      </x:c>
      <x:c r="C311" s="16" t="str">
        <x:v>Male</x:v>
      </x:c>
      <x:c r="D311" s="16" t="str">
        <x:v>Quality Assurance</x:v>
      </x:c>
      <x:c r="E311" s="16" t="str">
        <x:v>Senior QA Executive</x:v>
      </x:c>
      <x:c r="F311" s="16" t="str">
        <x:v>Narayanganj Plant</x:v>
      </x:c>
      <x:c r="G311" s="16" t="str">
        <x:v>Permanent</x:v>
      </x:c>
      <x:c r="H311" s="35" t="n">
        <x:v>43104</x:v>
      </x:c>
      <x:c r="I311" s="35"/>
      <x:c r="J311" s="16" t="str"/>
      <x:c r="K311" s="16" t="str">
        <x:f>IF(I311="","Active","Exited")</x:f>
        <x:v>Active</x:v>
      </x:c>
      <x:c r="L311" s="16" t="n">
        <x:f>(YEAR(IF(I311="",TODAY(),I311))-YEAR(H311))*12+MONTH(IF(I311="",TODAY(),I311))-MONTH(H311)</x:f>
        <x:v>102</x:v>
      </x:c>
      <x:c r="M311" s="36" t="n">
        <x:f>DATE(YEAR(H311),MONTH(H311),1)</x:f>
        <x:v>43101</x:v>
      </x:c>
      <x:c r="N311" s="36" t="str">
        <x:f>IF(I311="","",DATE(YEAR(I311),MONTH(I311),1))</x:f>
      </x:c>
    </x:row>
    <x:row r="312">
      <x:c r="A312" s="16" t="str">
        <x:v>HG-01311</x:v>
      </x:c>
      <x:c r="B312" s="16" t="str">
        <x:v>Mehedi Ahmed</x:v>
      </x:c>
      <x:c r="C312" s="16" t="str">
        <x:v>Male</x:v>
      </x:c>
      <x:c r="D312" s="16" t="str">
        <x:v>Sales &amp; Marketing</x:v>
      </x:c>
      <x:c r="E312" s="16" t="str">
        <x:v>Key Account Executive</x:v>
      </x:c>
      <x:c r="F312" s="16" t="str">
        <x:v>Dhaka Head Office</x:v>
      </x:c>
      <x:c r="G312" s="16" t="str">
        <x:v>Probation</x:v>
      </x:c>
      <x:c r="H312" s="35" t="n">
        <x:v>44277</x:v>
      </x:c>
      <x:c r="I312" s="35"/>
      <x:c r="J312" s="16" t="str"/>
      <x:c r="K312" s="16" t="str">
        <x:f>IF(I312="","Active","Exited")</x:f>
        <x:v>Active</x:v>
      </x:c>
      <x:c r="L312" s="16" t="n">
        <x:f>(YEAR(IF(I312="",TODAY(),I312))-YEAR(H312))*12+MONTH(IF(I312="",TODAY(),I312))-MONTH(H312)</x:f>
        <x:v>64</x:v>
      </x:c>
      <x:c r="M312" s="36" t="n">
        <x:f>DATE(YEAR(H312),MONTH(H312),1)</x:f>
        <x:v>44256</x:v>
      </x:c>
      <x:c r="N312" s="36" t="str">
        <x:f>IF(I312="","",DATE(YEAR(I312),MONTH(I312),1))</x:f>
      </x:c>
    </x:row>
    <x:row r="313">
      <x:c r="A313" s="16" t="str">
        <x:v>HG-01312</x:v>
      </x:c>
      <x:c r="B313" s="16" t="str">
        <x:v>Farhan Hossain</x:v>
      </x:c>
      <x:c r="C313" s="16" t="str">
        <x:v>Male</x:v>
      </x:c>
      <x:c r="D313" s="16" t="str">
        <x:v>Production</x:v>
      </x:c>
      <x:c r="E313" s="16" t="str">
        <x:v>Line Supervisor</x:v>
      </x:c>
      <x:c r="F313" s="16" t="str">
        <x:v>Gazipur Plant</x:v>
      </x:c>
      <x:c r="G313" s="16" t="str">
        <x:v>Contract</x:v>
      </x:c>
      <x:c r="H313" s="35" t="n">
        <x:v>44703</x:v>
      </x:c>
      <x:c r="I313" s="35"/>
      <x:c r="J313" s="16" t="str"/>
      <x:c r="K313" s="16" t="str">
        <x:f>IF(I313="","Active","Exited")</x:f>
        <x:v>Active</x:v>
      </x:c>
      <x:c r="L313" s="16" t="n">
        <x:f>(YEAR(IF(I313="",TODAY(),I313))-YEAR(H313))*12+MONTH(IF(I313="",TODAY(),I313))-MONTH(H313)</x:f>
        <x:v>50</x:v>
      </x:c>
      <x:c r="M313" s="36" t="n">
        <x:f>DATE(YEAR(H313),MONTH(H313),1)</x:f>
        <x:v>44682</x:v>
      </x:c>
      <x:c r="N313" s="36" t="str">
        <x:f>IF(I313="","",DATE(YEAR(I313),MONTH(I313),1))</x:f>
      </x:c>
    </x:row>
    <x:row r="314">
      <x:c r="A314" s="16" t="str">
        <x:v>HG-01313</x:v>
      </x:c>
      <x:c r="B314" s="16" t="str">
        <x:v>Mehedi Chowdhury</x:v>
      </x:c>
      <x:c r="C314" s="16" t="str">
        <x:v>Male</x:v>
      </x:c>
      <x:c r="D314" s="16" t="str">
        <x:v>Sales &amp; Marketing</x:v>
      </x:c>
      <x:c r="E314" s="16" t="str">
        <x:v>Territory Officer</x:v>
      </x:c>
      <x:c r="F314" s="16" t="str">
        <x:v>Dhaka Head Office</x:v>
      </x:c>
      <x:c r="G314" s="16" t="str">
        <x:v>Permanent</x:v>
      </x:c>
      <x:c r="H314" s="35" t="n">
        <x:v>42781</x:v>
      </x:c>
      <x:c r="I314" s="35"/>
      <x:c r="J314" s="16" t="str"/>
      <x:c r="K314" s="16" t="str">
        <x:f>IF(I314="","Active","Exited")</x:f>
        <x:v>Active</x:v>
      </x:c>
      <x:c r="L314" s="16" t="n">
        <x:f>(YEAR(IF(I314="",TODAY(),I314))-YEAR(H314))*12+MONTH(IF(I314="",TODAY(),I314))-MONTH(H314)</x:f>
        <x:v>113</x:v>
      </x:c>
      <x:c r="M314" s="36" t="n">
        <x:f>DATE(YEAR(H314),MONTH(H314),1)</x:f>
        <x:v>42767</x:v>
      </x:c>
      <x:c r="N314" s="36" t="str">
        <x:f>IF(I314="","",DATE(YEAR(I314),MONTH(I314),1))</x:f>
      </x:c>
    </x:row>
    <x:row r="315">
      <x:c r="A315" s="16" t="str">
        <x:v>HG-01314</x:v>
      </x:c>
      <x:c r="B315" s="16" t="str">
        <x:v>Arif Hossain</x:v>
      </x:c>
      <x:c r="C315" s="16" t="str">
        <x:v>Male</x:v>
      </x:c>
      <x:c r="D315" s="16" t="str">
        <x:v>Supply Chain</x:v>
      </x:c>
      <x:c r="E315" s="16" t="str">
        <x:v>Logistics Executive</x:v>
      </x:c>
      <x:c r="F315" s="16" t="str">
        <x:v>Narayanganj Plant</x:v>
      </x:c>
      <x:c r="G315" s="16" t="str">
        <x:v>Permanent</x:v>
      </x:c>
      <x:c r="H315" s="35" t="n">
        <x:v>43516</x:v>
      </x:c>
      <x:c r="I315" s="35"/>
      <x:c r="J315" s="16" t="str"/>
      <x:c r="K315" s="16" t="str">
        <x:f>IF(I315="","Active","Exited")</x:f>
        <x:v>Active</x:v>
      </x:c>
      <x:c r="L315" s="16" t="n">
        <x:f>(YEAR(IF(I315="",TODAY(),I315))-YEAR(H315))*12+MONTH(IF(I315="",TODAY(),I315))-MONTH(H315)</x:f>
        <x:v>89</x:v>
      </x:c>
      <x:c r="M315" s="36" t="n">
        <x:f>DATE(YEAR(H315),MONTH(H315),1)</x:f>
        <x:v>43497</x:v>
      </x:c>
      <x:c r="N315" s="36" t="str">
        <x:f>IF(I315="","",DATE(YEAR(I315),MONTH(I315),1))</x:f>
      </x:c>
    </x:row>
    <x:row r="316">
      <x:c r="A316" s="16" t="str">
        <x:v>HG-01315</x:v>
      </x:c>
      <x:c r="B316" s="16" t="str">
        <x:v>Imran Rahman</x:v>
      </x:c>
      <x:c r="C316" s="16" t="str">
        <x:v>Male</x:v>
      </x:c>
      <x:c r="D316" s="16" t="str">
        <x:v>Production</x:v>
      </x:c>
      <x:c r="E316" s="16" t="str">
        <x:v>Production Officer</x:v>
      </x:c>
      <x:c r="F316" s="16" t="str">
        <x:v>Gazipur Plant</x:v>
      </x:c>
      <x:c r="G316" s="16" t="str">
        <x:v>Contract</x:v>
      </x:c>
      <x:c r="H316" s="35" t="n">
        <x:v>44396</x:v>
      </x:c>
      <x:c r="I316" s="35" t="n">
        <x:v>46144</x:v>
      </x:c>
      <x:c r="J316" s="16" t="str">
        <x:v>Work-Life Balance</x:v>
      </x:c>
      <x:c r="K316" s="16" t="str">
        <x:f>IF(I316="","Active","Exited")</x:f>
        <x:v>Exited</x:v>
      </x:c>
      <x:c r="L316" s="16" t="n">
        <x:f>(YEAR(IF(I316="",TODAY(),I316))-YEAR(H316))*12+MONTH(IF(I316="",TODAY(),I316))-MONTH(H316)</x:f>
        <x:v>58</x:v>
      </x:c>
      <x:c r="M316" s="36" t="n">
        <x:f>DATE(YEAR(H316),MONTH(H316),1)</x:f>
        <x:v>44378</x:v>
      </x:c>
      <x:c r="N316" s="36" t="n">
        <x:f>IF(I316="","",DATE(YEAR(I316),MONTH(I316),1))</x:f>
        <x:v>46143</x:v>
      </x:c>
    </x:row>
    <x:row r="317">
      <x:c r="A317" s="16" t="str">
        <x:v>HG-01316</x:v>
      </x:c>
      <x:c r="B317" s="16" t="str">
        <x:v>Mizan Begum</x:v>
      </x:c>
      <x:c r="C317" s="16" t="str">
        <x:v>Male</x:v>
      </x:c>
      <x:c r="D317" s="16" t="str">
        <x:v>Production</x:v>
      </x:c>
      <x:c r="E317" s="16" t="str">
        <x:v>Line Supervisor</x:v>
      </x:c>
      <x:c r="F317" s="16" t="str">
        <x:v>Narayanganj Plant</x:v>
      </x:c>
      <x:c r="G317" s="16" t="str">
        <x:v>Permanent</x:v>
      </x:c>
      <x:c r="H317" s="35" t="n">
        <x:v>45383</x:v>
      </x:c>
      <x:c r="I317" s="35" t="n">
        <x:v>45873</x:v>
      </x:c>
      <x:c r="J317" s="16" t="str">
        <x:v>Relocation</x:v>
      </x:c>
      <x:c r="K317" s="16" t="str">
        <x:f>IF(I317="","Active","Exited")</x:f>
        <x:v>Exited</x:v>
      </x:c>
      <x:c r="L317" s="16" t="n">
        <x:f>(YEAR(IF(I317="",TODAY(),I317))-YEAR(H317))*12+MONTH(IF(I317="",TODAY(),I317))-MONTH(H317)</x:f>
        <x:v>16</x:v>
      </x:c>
      <x:c r="M317" s="36" t="n">
        <x:f>DATE(YEAR(H317),MONTH(H317),1)</x:f>
        <x:v>45383</x:v>
      </x:c>
      <x:c r="N317" s="36" t="n">
        <x:f>IF(I317="","",DATE(YEAR(I317),MONTH(I317),1))</x:f>
        <x:v>45870</x:v>
      </x:c>
    </x:row>
    <x:row r="318">
      <x:c r="A318" s="16" t="str">
        <x:v>HG-01317</x:v>
      </x:c>
      <x:c r="B318" s="16" t="str">
        <x:v>Rashed Khan</x:v>
      </x:c>
      <x:c r="C318" s="16" t="str">
        <x:v>Male</x:v>
      </x:c>
      <x:c r="D318" s="16" t="str">
        <x:v>Administration</x:v>
      </x:c>
      <x:c r="E318" s="16" t="str">
        <x:v>Assistant Manager - Admin</x:v>
      </x:c>
      <x:c r="F318" s="16" t="str">
        <x:v>Dhaka Head Office</x:v>
      </x:c>
      <x:c r="G318" s="16" t="str">
        <x:v>Permanent</x:v>
      </x:c>
      <x:c r="H318" s="35" t="n">
        <x:v>43638</x:v>
      </x:c>
      <x:c r="I318" s="35"/>
      <x:c r="J318" s="16" t="str"/>
      <x:c r="K318" s="16" t="str">
        <x:f>IF(I318="","Active","Exited")</x:f>
        <x:v>Active</x:v>
      </x:c>
      <x:c r="L318" s="16" t="n">
        <x:f>(YEAR(IF(I318="",TODAY(),I318))-YEAR(H318))*12+MONTH(IF(I318="",TODAY(),I318))-MONTH(H318)</x:f>
        <x:v>85</x:v>
      </x:c>
      <x:c r="M318" s="36" t="n">
        <x:f>DATE(YEAR(H318),MONTH(H318),1)</x:f>
        <x:v>43617</x:v>
      </x:c>
      <x:c r="N318" s="36" t="str">
        <x:f>IF(I318="","",DATE(YEAR(I318),MONTH(I318),1))</x:f>
      </x:c>
    </x:row>
    <x:row r="319">
      <x:c r="A319" s="16" t="str">
        <x:v>HG-01318</x:v>
      </x:c>
      <x:c r="B319" s="16" t="str">
        <x:v>Rakib Begum</x:v>
      </x:c>
      <x:c r="C319" s="16" t="str">
        <x:v>Male</x:v>
      </x:c>
      <x:c r="D319" s="16" t="str">
        <x:v>Human Resources</x:v>
      </x:c>
      <x:c r="E319" s="16" t="str">
        <x:v>HR Business Executive</x:v>
      </x:c>
      <x:c r="F319" s="16" t="str">
        <x:v>Dhaka Head Office</x:v>
      </x:c>
      <x:c r="G319" s="16" t="str">
        <x:v>Permanent</x:v>
      </x:c>
      <x:c r="H319" s="35" t="n">
        <x:v>45502</x:v>
      </x:c>
      <x:c r="I319" s="35"/>
      <x:c r="J319" s="16" t="str"/>
      <x:c r="K319" s="16" t="str">
        <x:f>IF(I319="","Active","Exited")</x:f>
        <x:v>Active</x:v>
      </x:c>
      <x:c r="L319" s="16" t="n">
        <x:f>(YEAR(IF(I319="",TODAY(),I319))-YEAR(H319))*12+MONTH(IF(I319="",TODAY(),I319))-MONTH(H319)</x:f>
        <x:v>24</x:v>
      </x:c>
      <x:c r="M319" s="36" t="n">
        <x:f>DATE(YEAR(H319),MONTH(H319),1)</x:f>
        <x:v>45474</x:v>
      </x:c>
      <x:c r="N319" s="36" t="str">
        <x:f>IF(I319="","",DATE(YEAR(I319),MONTH(I319),1))</x:f>
      </x:c>
    </x:row>
    <x:row r="320">
      <x:c r="A320" s="16" t="str">
        <x:v>HG-01319</x:v>
      </x:c>
      <x:c r="B320" s="16" t="str">
        <x:v>Sajid Rahman</x:v>
      </x:c>
      <x:c r="C320" s="16" t="str">
        <x:v>Male</x:v>
      </x:c>
      <x:c r="D320" s="16" t="str">
        <x:v>Human Resources</x:v>
      </x:c>
      <x:c r="E320" s="16" t="str">
        <x:v>Assistant Manager - HR</x:v>
      </x:c>
      <x:c r="F320" s="16" t="str">
        <x:v>Dhaka Head Office</x:v>
      </x:c>
      <x:c r="G320" s="16" t="str">
        <x:v>Permanent</x:v>
      </x:c>
      <x:c r="H320" s="35" t="n">
        <x:v>42814</x:v>
      </x:c>
      <x:c r="I320" s="35"/>
      <x:c r="J320" s="16" t="str"/>
      <x:c r="K320" s="16" t="str">
        <x:f>IF(I320="","Active","Exited")</x:f>
        <x:v>Active</x:v>
      </x:c>
      <x:c r="L320" s="16" t="n">
        <x:f>(YEAR(IF(I320="",TODAY(),I320))-YEAR(H320))*12+MONTH(IF(I320="",TODAY(),I320))-MONTH(H320)</x:f>
        <x:v>112</x:v>
      </x:c>
      <x:c r="M320" s="36" t="n">
        <x:f>DATE(YEAR(H320),MONTH(H320),1)</x:f>
        <x:v>42795</x:v>
      </x:c>
      <x:c r="N320" s="36" t="str">
        <x:f>IF(I320="","",DATE(YEAR(I320),MONTH(I320),1))</x:f>
      </x:c>
    </x:row>
    <x:row r="321">
      <x:c r="A321" s="16" t="str">
        <x:v>HG-01320</x:v>
      </x:c>
      <x:c r="B321" s="16" t="str">
        <x:v>Farhan Hasan</x:v>
      </x:c>
      <x:c r="C321" s="16" t="str">
        <x:v>Male</x:v>
      </x:c>
      <x:c r="D321" s="16" t="str">
        <x:v>Finance &amp; Accounts</x:v>
      </x:c>
      <x:c r="E321" s="16" t="str">
        <x:v>Payroll Executive</x:v>
      </x:c>
      <x:c r="F321" s="16" t="str">
        <x:v>Dhaka Head Office</x:v>
      </x:c>
      <x:c r="G321" s="16" t="str">
        <x:v>Permanent</x:v>
      </x:c>
      <x:c r="H321" s="35" t="n">
        <x:v>44881</x:v>
      </x:c>
      <x:c r="I321" s="35"/>
      <x:c r="J321" s="16" t="str"/>
      <x:c r="K321" s="16" t="str">
        <x:f>IF(I321="","Active","Exited")</x:f>
        <x:v>Active</x:v>
      </x:c>
      <x:c r="L321" s="16" t="n">
        <x:f>(YEAR(IF(I321="",TODAY(),I321))-YEAR(H321))*12+MONTH(IF(I321="",TODAY(),I321))-MONTH(H321)</x:f>
        <x:v>44</x:v>
      </x:c>
      <x:c r="M321" s="36" t="n">
        <x:f>DATE(YEAR(H321),MONTH(H321),1)</x:f>
        <x:v>44866</x:v>
      </x:c>
      <x:c r="N321" s="36" t="str">
        <x:f>IF(I321="","",DATE(YEAR(I321),MONTH(I321),1))</x:f>
      </x:c>
    </x:row>
    <x:row r="322">
      <x:c r="A322" s="16" t="str">
        <x:v>HG-01321</x:v>
      </x:c>
      <x:c r="B322" s="16" t="str">
        <x:v>Fahim Khan</x:v>
      </x:c>
      <x:c r="C322" s="16" t="str">
        <x:v>Male</x:v>
      </x:c>
      <x:c r="D322" s="16" t="str">
        <x:v>Quality Assurance</x:v>
      </x:c>
      <x:c r="E322" s="16" t="str">
        <x:v>Assistant Manager - QA</x:v>
      </x:c>
      <x:c r="F322" s="16" t="str">
        <x:v>Gazipur Plant</x:v>
      </x:c>
      <x:c r="G322" s="16" t="str">
        <x:v>Contract</x:v>
      </x:c>
      <x:c r="H322" s="35" t="n">
        <x:v>43200</x:v>
      </x:c>
      <x:c r="I322" s="35"/>
      <x:c r="J322" s="16" t="str"/>
      <x:c r="K322" s="16" t="str">
        <x:f>IF(I322="","Active","Exited")</x:f>
        <x:v>Active</x:v>
      </x:c>
      <x:c r="L322" s="16" t="n">
        <x:f>(YEAR(IF(I322="",TODAY(),I322))-YEAR(H322))*12+MONTH(IF(I322="",TODAY(),I322))-MONTH(H322)</x:f>
        <x:v>99</x:v>
      </x:c>
      <x:c r="M322" s="36" t="n">
        <x:f>DATE(YEAR(H322),MONTH(H322),1)</x:f>
        <x:v>43191</x:v>
      </x:c>
      <x:c r="N322" s="36" t="str">
        <x:f>IF(I322="","",DATE(YEAR(I322),MONTH(I322),1))</x:f>
      </x:c>
    </x:row>
    <x:row r="323">
      <x:c r="A323" s="16" t="str">
        <x:v>HG-01322</x:v>
      </x:c>
      <x:c r="B323" s="16" t="str">
        <x:v>Farhan Karim</x:v>
      </x:c>
      <x:c r="C323" s="16" t="str">
        <x:v>Male</x:v>
      </x:c>
      <x:c r="D323" s="16" t="str">
        <x:v>Sales &amp; Marketing</x:v>
      </x:c>
      <x:c r="E323" s="16" t="str">
        <x:v>Sales Executive</x:v>
      </x:c>
      <x:c r="F323" s="16" t="str">
        <x:v>Dhaka Head Office</x:v>
      </x:c>
      <x:c r="G323" s="16" t="str">
        <x:v>Permanent</x:v>
      </x:c>
      <x:c r="H323" s="35" t="n">
        <x:v>44919</x:v>
      </x:c>
      <x:c r="I323" s="35" t="n">
        <x:v>45773</x:v>
      </x:c>
      <x:c r="J323" s="16" t="str">
        <x:v>Better Opportunity</x:v>
      </x:c>
      <x:c r="K323" s="16" t="str">
        <x:f>IF(I323="","Active","Exited")</x:f>
        <x:v>Exited</x:v>
      </x:c>
      <x:c r="L323" s="16" t="n">
        <x:f>(YEAR(IF(I323="",TODAY(),I323))-YEAR(H323))*12+MONTH(IF(I323="",TODAY(),I323))-MONTH(H323)</x:f>
        <x:v>28</x:v>
      </x:c>
      <x:c r="M323" s="36" t="n">
        <x:f>DATE(YEAR(H323),MONTH(H323),1)</x:f>
        <x:v>44896</x:v>
      </x:c>
      <x:c r="N323" s="36" t="n">
        <x:f>IF(I323="","",DATE(YEAR(I323),MONTH(I323),1))</x:f>
        <x:v>45748</x:v>
      </x:c>
    </x:row>
    <x:row r="324">
      <x:c r="A324" s="16" t="str">
        <x:v>HG-01323</x:v>
      </x:c>
      <x:c r="B324" s="16" t="str">
        <x:v>Imran Rahman</x:v>
      </x:c>
      <x:c r="C324" s="16" t="str">
        <x:v>Male</x:v>
      </x:c>
      <x:c r="D324" s="16" t="str">
        <x:v>Information Technology</x:v>
      </x:c>
      <x:c r="E324" s="16" t="str">
        <x:v>IT Support Executive</x:v>
      </x:c>
      <x:c r="F324" s="16" t="str">
        <x:v>Narayanganj Plant</x:v>
      </x:c>
      <x:c r="G324" s="16" t="str">
        <x:v>Contract</x:v>
      </x:c>
      <x:c r="H324" s="35" t="n">
        <x:v>44940</x:v>
      </x:c>
      <x:c r="I324" s="35" t="n">
        <x:v>45745</x:v>
      </x:c>
      <x:c r="J324" s="16" t="str">
        <x:v>End of Contract</x:v>
      </x:c>
      <x:c r="K324" s="16" t="str">
        <x:f>IF(I324="","Active","Exited")</x:f>
        <x:v>Exited</x:v>
      </x:c>
      <x:c r="L324" s="16" t="n">
        <x:f>(YEAR(IF(I324="",TODAY(),I324))-YEAR(H324))*12+MONTH(IF(I324="",TODAY(),I324))-MONTH(H324)</x:f>
        <x:v>26</x:v>
      </x:c>
      <x:c r="M324" s="36" t="n">
        <x:f>DATE(YEAR(H324),MONTH(H324),1)</x:f>
        <x:v>44927</x:v>
      </x:c>
      <x:c r="N324" s="36" t="n">
        <x:f>IF(I324="","",DATE(YEAR(I324),MONTH(I324),1))</x:f>
        <x:v>45717</x:v>
      </x:c>
    </x:row>
    <x:row r="325">
      <x:c r="A325" s="16" t="str">
        <x:v>HG-01324</x:v>
      </x:c>
      <x:c r="B325" s="16" t="str">
        <x:v>Tanvir Kabir</x:v>
      </x:c>
      <x:c r="C325" s="16" t="str">
        <x:v>Male</x:v>
      </x:c>
      <x:c r="D325" s="16" t="str">
        <x:v>Sales &amp; Marketing</x:v>
      </x:c>
      <x:c r="E325" s="16" t="str">
        <x:v>Sales Executive</x:v>
      </x:c>
      <x:c r="F325" s="16" t="str">
        <x:v>Chattogram Office</x:v>
      </x:c>
      <x:c r="G325" s="16" t="str">
        <x:v>Permanent</x:v>
      </x:c>
      <x:c r="H325" s="35" t="n">
        <x:v>43361</x:v>
      </x:c>
      <x:c r="I325" s="35"/>
      <x:c r="J325" s="16" t="str"/>
      <x:c r="K325" s="16" t="str">
        <x:f>IF(I325="","Active","Exited")</x:f>
        <x:v>Active</x:v>
      </x:c>
      <x:c r="L325" s="16" t="n">
        <x:f>(YEAR(IF(I325="",TODAY(),I325))-YEAR(H325))*12+MONTH(IF(I325="",TODAY(),I325))-MONTH(H325)</x:f>
        <x:v>94</x:v>
      </x:c>
      <x:c r="M325" s="36" t="n">
        <x:f>DATE(YEAR(H325),MONTH(H325),1)</x:f>
        <x:v>43344</x:v>
      </x:c>
      <x:c r="N325" s="36" t="str">
        <x:f>IF(I325="","",DATE(YEAR(I325),MONTH(I325),1))</x:f>
      </x:c>
    </x:row>
    <x:row r="326">
      <x:c r="A326" s="16" t="str">
        <x:v>HG-01325</x:v>
      </x:c>
      <x:c r="B326" s="16" t="str">
        <x:v>Jannat Islam</x:v>
      </x:c>
      <x:c r="C326" s="16" t="str">
        <x:v>Female</x:v>
      </x:c>
      <x:c r="D326" s="16" t="str">
        <x:v>Sales &amp; Marketing</x:v>
      </x:c>
      <x:c r="E326" s="16" t="str">
        <x:v>Territory Officer</x:v>
      </x:c>
      <x:c r="F326" s="16" t="str">
        <x:v>Dhaka Head Office</x:v>
      </x:c>
      <x:c r="G326" s="16" t="str">
        <x:v>Permanent</x:v>
      </x:c>
      <x:c r="H326" s="35" t="n">
        <x:v>45606</x:v>
      </x:c>
      <x:c r="I326" s="35" t="n">
        <x:v>46030</x:v>
      </x:c>
      <x:c r="J326" s="16" t="str">
        <x:v>Better Opportunity</x:v>
      </x:c>
      <x:c r="K326" s="16" t="str">
        <x:f>IF(I326="","Active","Exited")</x:f>
        <x:v>Exited</x:v>
      </x:c>
      <x:c r="L326" s="16" t="n">
        <x:f>(YEAR(IF(I326="",TODAY(),I326))-YEAR(H326))*12+MONTH(IF(I326="",TODAY(),I326))-MONTH(H326)</x:f>
        <x:v>14</x:v>
      </x:c>
      <x:c r="M326" s="36" t="n">
        <x:f>DATE(YEAR(H326),MONTH(H326),1)</x:f>
        <x:v>45597</x:v>
      </x:c>
      <x:c r="N326" s="36" t="n">
        <x:f>IF(I326="","",DATE(YEAR(I326),MONTH(I326),1))</x:f>
        <x:v>46023</x:v>
      </x:c>
    </x:row>
    <x:row r="327">
      <x:c r="A327" s="16" t="str">
        <x:v>HG-01326</x:v>
      </x:c>
      <x:c r="B327" s="16" t="str">
        <x:v>Imran Hasan</x:v>
      </x:c>
      <x:c r="C327" s="16" t="str">
        <x:v>Male</x:v>
      </x:c>
      <x:c r="D327" s="16" t="str">
        <x:v>Production</x:v>
      </x:c>
      <x:c r="E327" s="16" t="str">
        <x:v>Production Operator</x:v>
      </x:c>
      <x:c r="F327" s="16" t="str">
        <x:v>Gazipur Plant</x:v>
      </x:c>
      <x:c r="G327" s="16" t="str">
        <x:v>Permanent</x:v>
      </x:c>
      <x:c r="H327" s="35" t="n">
        <x:v>44796</x:v>
      </x:c>
      <x:c r="I327" s="35"/>
      <x:c r="J327" s="16" t="str"/>
      <x:c r="K327" s="16" t="str">
        <x:f>IF(I327="","Active","Exited")</x:f>
        <x:v>Active</x:v>
      </x:c>
      <x:c r="L327" s="16" t="n">
        <x:f>(YEAR(IF(I327="",TODAY(),I327))-YEAR(H327))*12+MONTH(IF(I327="",TODAY(),I327))-MONTH(H327)</x:f>
        <x:v>47</x:v>
      </x:c>
      <x:c r="M327" s="36" t="n">
        <x:f>DATE(YEAR(H327),MONTH(H327),1)</x:f>
        <x:v>44774</x:v>
      </x:c>
      <x:c r="N327" s="36" t="str">
        <x:f>IF(I327="","",DATE(YEAR(I327),MONTH(I327),1))</x:f>
      </x:c>
    </x:row>
    <x:row r="328">
      <x:c r="A328" s="16" t="str">
        <x:v>HG-01327</x:v>
      </x:c>
      <x:c r="B328" s="16" t="str">
        <x:v>Fahim Ahmed</x:v>
      </x:c>
      <x:c r="C328" s="16" t="str">
        <x:v>Male</x:v>
      </x:c>
      <x:c r="D328" s="16" t="str">
        <x:v>Production</x:v>
      </x:c>
      <x:c r="E328" s="16" t="str">
        <x:v>Senior Operator</x:v>
      </x:c>
      <x:c r="F328" s="16" t="str">
        <x:v>Narayanganj Plant</x:v>
      </x:c>
      <x:c r="G328" s="16" t="str">
        <x:v>Contract</x:v>
      </x:c>
      <x:c r="H328" s="35" t="n">
        <x:v>43600</x:v>
      </x:c>
      <x:c r="I328" s="35" t="n">
        <x:v>45924</x:v>
      </x:c>
      <x:c r="J328" s="16" t="str">
        <x:v>End of Contract</x:v>
      </x:c>
      <x:c r="K328" s="16" t="str">
        <x:f>IF(I328="","Active","Exited")</x:f>
        <x:v>Exited</x:v>
      </x:c>
      <x:c r="L328" s="16" t="n">
        <x:f>(YEAR(IF(I328="",TODAY(),I328))-YEAR(H328))*12+MONTH(IF(I328="",TODAY(),I328))-MONTH(H328)</x:f>
        <x:v>76</x:v>
      </x:c>
      <x:c r="M328" s="36" t="n">
        <x:f>DATE(YEAR(H328),MONTH(H328),1)</x:f>
        <x:v>43586</x:v>
      </x:c>
      <x:c r="N328" s="36" t="n">
        <x:f>IF(I328="","",DATE(YEAR(I328),MONTH(I328),1))</x:f>
        <x:v>45901</x:v>
      </x:c>
    </x:row>
    <x:row r="329">
      <x:c r="A329" s="16" t="str">
        <x:v>HG-01328</x:v>
      </x:c>
      <x:c r="B329" s="16" t="str">
        <x:v>Rafi Karim</x:v>
      </x:c>
      <x:c r="C329" s="16" t="str">
        <x:v>Male</x:v>
      </x:c>
      <x:c r="D329" s="16" t="str">
        <x:v>Production</x:v>
      </x:c>
      <x:c r="E329" s="16" t="str">
        <x:v>Senior Operator</x:v>
      </x:c>
      <x:c r="F329" s="16" t="str">
        <x:v>Gazipur Plant</x:v>
      </x:c>
      <x:c r="G329" s="16" t="str">
        <x:v>Permanent</x:v>
      </x:c>
      <x:c r="H329" s="35" t="n">
        <x:v>45477</x:v>
      </x:c>
      <x:c r="I329" s="35"/>
      <x:c r="J329" s="16" t="str"/>
      <x:c r="K329" s="16" t="str">
        <x:f>IF(I329="","Active","Exited")</x:f>
        <x:v>Active</x:v>
      </x:c>
      <x:c r="L329" s="16" t="n">
        <x:f>(YEAR(IF(I329="",TODAY(),I329))-YEAR(H329))*12+MONTH(IF(I329="",TODAY(),I329))-MONTH(H329)</x:f>
        <x:v>24</x:v>
      </x:c>
      <x:c r="M329" s="36" t="n">
        <x:f>DATE(YEAR(H329),MONTH(H329),1)</x:f>
        <x:v>45474</x:v>
      </x:c>
      <x:c r="N329" s="36" t="str">
        <x:f>IF(I329="","",DATE(YEAR(I329),MONTH(I329),1))</x:f>
      </x:c>
    </x:row>
    <x:row r="330">
      <x:c r="A330" s="16" t="str">
        <x:v>HG-01329</x:v>
      </x:c>
      <x:c r="B330" s="16" t="str">
        <x:v>Sadia Akter</x:v>
      </x:c>
      <x:c r="C330" s="16" t="str">
        <x:v>Female</x:v>
      </x:c>
      <x:c r="D330" s="16" t="str">
        <x:v>Human Resources</x:v>
      </x:c>
      <x:c r="E330" s="16" t="str">
        <x:v>HR Executive</x:v>
      </x:c>
      <x:c r="F330" s="16" t="str">
        <x:v>Narayanganj Plant</x:v>
      </x:c>
      <x:c r="G330" s="16" t="str">
        <x:v>Permanent</x:v>
      </x:c>
      <x:c r="H330" s="35" t="n">
        <x:v>44102</x:v>
      </x:c>
      <x:c r="I330" s="35"/>
      <x:c r="J330" s="16" t="str"/>
      <x:c r="K330" s="16" t="str">
        <x:f>IF(I330="","Active","Exited")</x:f>
        <x:v>Active</x:v>
      </x:c>
      <x:c r="L330" s="16" t="n">
        <x:f>(YEAR(IF(I330="",TODAY(),I330))-YEAR(H330))*12+MONTH(IF(I330="",TODAY(),I330))-MONTH(H330)</x:f>
        <x:v>70</x:v>
      </x:c>
      <x:c r="M330" s="36" t="n">
        <x:f>DATE(YEAR(H330),MONTH(H330),1)</x:f>
        <x:v>44075</x:v>
      </x:c>
      <x:c r="N330" s="36" t="str">
        <x:f>IF(I330="","",DATE(YEAR(I330),MONTH(I330),1))</x:f>
      </x:c>
    </x:row>
    <x:row r="331">
      <x:c r="A331" s="16" t="str">
        <x:v>HG-01330</x:v>
      </x:c>
      <x:c r="B331" s="16" t="str">
        <x:v>Rakib Miah</x:v>
      </x:c>
      <x:c r="C331" s="16" t="str">
        <x:v>Male</x:v>
      </x:c>
      <x:c r="D331" s="16" t="str">
        <x:v>Supply Chain</x:v>
      </x:c>
      <x:c r="E331" s="16" t="str">
        <x:v>Senior Supply Chain Executive</x:v>
      </x:c>
      <x:c r="F331" s="16" t="str">
        <x:v>Narayanganj Plant</x:v>
      </x:c>
      <x:c r="G331" s="16" t="str">
        <x:v>Permanent</x:v>
      </x:c>
      <x:c r="H331" s="35" t="n">
        <x:v>45016</x:v>
      </x:c>
      <x:c r="I331" s="35"/>
      <x:c r="J331" s="16" t="str"/>
      <x:c r="K331" s="16" t="str">
        <x:f>IF(I331="","Active","Exited")</x:f>
        <x:v>Active</x:v>
      </x:c>
      <x:c r="L331" s="16" t="n">
        <x:f>(YEAR(IF(I331="",TODAY(),I331))-YEAR(H331))*12+MONTH(IF(I331="",TODAY(),I331))-MONTH(H331)</x:f>
        <x:v>40</x:v>
      </x:c>
      <x:c r="M331" s="36" t="n">
        <x:f>DATE(YEAR(H331),MONTH(H331),1)</x:f>
        <x:v>44986</x:v>
      </x:c>
      <x:c r="N331" s="36" t="str">
        <x:f>IF(I331="","",DATE(YEAR(I331),MONTH(I331),1))</x:f>
      </x:c>
    </x:row>
    <x:row r="332">
      <x:c r="A332" s="16" t="str">
        <x:v>HG-01331</x:v>
      </x:c>
      <x:c r="B332" s="16" t="str">
        <x:v>Fahim Miah</x:v>
      </x:c>
      <x:c r="C332" s="16" t="str">
        <x:v>Male</x:v>
      </x:c>
      <x:c r="D332" s="16" t="str">
        <x:v>Finance &amp; Accounts</x:v>
      </x:c>
      <x:c r="E332" s="16" t="str">
        <x:v>Assistant Manager - Finance</x:v>
      </x:c>
      <x:c r="F332" s="16" t="str">
        <x:v>Dhaka Head Office</x:v>
      </x:c>
      <x:c r="G332" s="16" t="str">
        <x:v>Permanent</x:v>
      </x:c>
      <x:c r="H332" s="35" t="n">
        <x:v>44226</x:v>
      </x:c>
      <x:c r="I332" s="35" t="n">
        <x:v>45880</x:v>
      </x:c>
      <x:c r="J332" s="16" t="str">
        <x:v>Better Opportunity</x:v>
      </x:c>
      <x:c r="K332" s="16" t="str">
        <x:f>IF(I332="","Active","Exited")</x:f>
        <x:v>Exited</x:v>
      </x:c>
      <x:c r="L332" s="16" t="n">
        <x:f>(YEAR(IF(I332="",TODAY(),I332))-YEAR(H332))*12+MONTH(IF(I332="",TODAY(),I332))-MONTH(H332)</x:f>
        <x:v>55</x:v>
      </x:c>
      <x:c r="M332" s="36" t="n">
        <x:f>DATE(YEAR(H332),MONTH(H332),1)</x:f>
        <x:v>44197</x:v>
      </x:c>
      <x:c r="N332" s="36" t="n">
        <x:f>IF(I332="","",DATE(YEAR(I332),MONTH(I332),1))</x:f>
        <x:v>45870</x:v>
      </x:c>
    </x:row>
    <x:row r="333">
      <x:c r="A333" s="16" t="str">
        <x:v>HG-01332</x:v>
      </x:c>
      <x:c r="B333" s="16" t="str">
        <x:v>Nazmul Begum</x:v>
      </x:c>
      <x:c r="C333" s="16" t="str">
        <x:v>Male</x:v>
      </x:c>
      <x:c r="D333" s="16" t="str">
        <x:v>Information Technology</x:v>
      </x:c>
      <x:c r="E333" s="16" t="str">
        <x:v>Data Analyst</x:v>
      </x:c>
      <x:c r="F333" s="16" t="str">
        <x:v>Dhaka Head Office</x:v>
      </x:c>
      <x:c r="G333" s="16" t="str">
        <x:v>Probation</x:v>
      </x:c>
      <x:c r="H333" s="35" t="n">
        <x:v>44635</x:v>
      </x:c>
      <x:c r="I333" s="35"/>
      <x:c r="J333" s="16" t="str"/>
      <x:c r="K333" s="16" t="str">
        <x:f>IF(I333="","Active","Exited")</x:f>
        <x:v>Active</x:v>
      </x:c>
      <x:c r="L333" s="16" t="n">
        <x:f>(YEAR(IF(I333="",TODAY(),I333))-YEAR(H333))*12+MONTH(IF(I333="",TODAY(),I333))-MONTH(H333)</x:f>
        <x:v>52</x:v>
      </x:c>
      <x:c r="M333" s="36" t="n">
        <x:f>DATE(YEAR(H333),MONTH(H333),1)</x:f>
        <x:v>44621</x:v>
      </x:c>
      <x:c r="N333" s="36" t="str">
        <x:f>IF(I333="","",DATE(YEAR(I333),MONTH(I333),1))</x:f>
      </x:c>
    </x:row>
    <x:row r="334">
      <x:c r="A334" s="16" t="str">
        <x:v>HG-01333</x:v>
      </x:c>
      <x:c r="B334" s="16" t="str">
        <x:v>Tanvir Alam</x:v>
      </x:c>
      <x:c r="C334" s="16" t="str">
        <x:v>Male</x:v>
      </x:c>
      <x:c r="D334" s="16" t="str">
        <x:v>Sales &amp; Marketing</x:v>
      </x:c>
      <x:c r="E334" s="16" t="str">
        <x:v>Sales Executive</x:v>
      </x:c>
      <x:c r="F334" s="16" t="str">
        <x:v>Dhaka Head Office</x:v>
      </x:c>
      <x:c r="G334" s="16" t="str">
        <x:v>Permanent</x:v>
      </x:c>
      <x:c r="H334" s="35" t="n">
        <x:v>43644</x:v>
      </x:c>
      <x:c r="I334" s="35"/>
      <x:c r="J334" s="16" t="str"/>
      <x:c r="K334" s="16" t="str">
        <x:f>IF(I334="","Active","Exited")</x:f>
        <x:v>Active</x:v>
      </x:c>
      <x:c r="L334" s="16" t="n">
        <x:f>(YEAR(IF(I334="",TODAY(),I334))-YEAR(H334))*12+MONTH(IF(I334="",TODAY(),I334))-MONTH(H334)</x:f>
        <x:v>85</x:v>
      </x:c>
      <x:c r="M334" s="36" t="n">
        <x:f>DATE(YEAR(H334),MONTH(H334),1)</x:f>
        <x:v>43617</x:v>
      </x:c>
      <x:c r="N334" s="36" t="str">
        <x:f>IF(I334="","",DATE(YEAR(I334),MONTH(I334),1))</x:f>
      </x:c>
    </x:row>
    <x:row r="335">
      <x:c r="A335" s="16" t="str">
        <x:v>HG-01334</x:v>
      </x:c>
      <x:c r="B335" s="16" t="str">
        <x:v>Rakib Karim</x:v>
      </x:c>
      <x:c r="C335" s="16" t="str">
        <x:v>Male</x:v>
      </x:c>
      <x:c r="D335" s="16" t="str">
        <x:v>Information Technology</x:v>
      </x:c>
      <x:c r="E335" s="16" t="str">
        <x:v>Software Executive</x:v>
      </x:c>
      <x:c r="F335" s="16" t="str">
        <x:v>Dhaka Head Office</x:v>
      </x:c>
      <x:c r="G335" s="16" t="str">
        <x:v>Permanent</x:v>
      </x:c>
      <x:c r="H335" s="35" t="n">
        <x:v>43482</x:v>
      </x:c>
      <x:c r="I335" s="35"/>
      <x:c r="J335" s="16" t="str"/>
      <x:c r="K335" s="16" t="str">
        <x:f>IF(I335="","Active","Exited")</x:f>
        <x:v>Active</x:v>
      </x:c>
      <x:c r="L335" s="16" t="n">
        <x:f>(YEAR(IF(I335="",TODAY(),I335))-YEAR(H335))*12+MONTH(IF(I335="",TODAY(),I335))-MONTH(H335)</x:f>
        <x:v>90</x:v>
      </x:c>
      <x:c r="M335" s="36" t="n">
        <x:f>DATE(YEAR(H335),MONTH(H335),1)</x:f>
        <x:v>43466</x:v>
      </x:c>
      <x:c r="N335" s="36" t="str">
        <x:f>IF(I335="","",DATE(YEAR(I335),MONTH(I335),1))</x:f>
      </x:c>
    </x:row>
    <x:row r="336">
      <x:c r="A336" s="16" t="str">
        <x:v>HG-01335</x:v>
      </x:c>
      <x:c r="B336" s="16" t="str">
        <x:v>Rakib Khan</x:v>
      </x:c>
      <x:c r="C336" s="16" t="str">
        <x:v>Male</x:v>
      </x:c>
      <x:c r="D336" s="16" t="str">
        <x:v>Sales &amp; Marketing</x:v>
      </x:c>
      <x:c r="E336" s="16" t="str">
        <x:v>Marketing Officer</x:v>
      </x:c>
      <x:c r="F336" s="16" t="str">
        <x:v>Dhaka Head Office</x:v>
      </x:c>
      <x:c r="G336" s="16" t="str">
        <x:v>Permanent</x:v>
      </x:c>
      <x:c r="H336" s="35" t="n">
        <x:v>44321</x:v>
      </x:c>
      <x:c r="I336" s="35"/>
      <x:c r="J336" s="16" t="str"/>
      <x:c r="K336" s="16" t="str">
        <x:f>IF(I336="","Active","Exited")</x:f>
        <x:v>Active</x:v>
      </x:c>
      <x:c r="L336" s="16" t="n">
        <x:f>(YEAR(IF(I336="",TODAY(),I336))-YEAR(H336))*12+MONTH(IF(I336="",TODAY(),I336))-MONTH(H336)</x:f>
        <x:v>62</x:v>
      </x:c>
      <x:c r="M336" s="36" t="n">
        <x:f>DATE(YEAR(H336),MONTH(H336),1)</x:f>
        <x:v>44317</x:v>
      </x:c>
      <x:c r="N336" s="36" t="str">
        <x:f>IF(I336="","",DATE(YEAR(I336),MONTH(I336),1))</x:f>
      </x:c>
    </x:row>
    <x:row r="337">
      <x:c r="A337" s="16" t="str">
        <x:v>HG-01336</x:v>
      </x:c>
      <x:c r="B337" s="16" t="str">
        <x:v>Sabbir Kabir</x:v>
      </x:c>
      <x:c r="C337" s="16" t="str">
        <x:v>Male</x:v>
      </x:c>
      <x:c r="D337" s="16" t="str">
        <x:v>Finance &amp; Accounts</x:v>
      </x:c>
      <x:c r="E337" s="16" t="str">
        <x:v>Payroll Executive</x:v>
      </x:c>
      <x:c r="F337" s="16" t="str">
        <x:v>Dhaka Head Office</x:v>
      </x:c>
      <x:c r="G337" s="16" t="str">
        <x:v>Permanent</x:v>
      </x:c>
      <x:c r="H337" s="35" t="n">
        <x:v>44575</x:v>
      </x:c>
      <x:c r="I337" s="35"/>
      <x:c r="J337" s="16" t="str"/>
      <x:c r="K337" s="16" t="str">
        <x:f>IF(I337="","Active","Exited")</x:f>
        <x:v>Active</x:v>
      </x:c>
      <x:c r="L337" s="16" t="n">
        <x:f>(YEAR(IF(I337="",TODAY(),I337))-YEAR(H337))*12+MONTH(IF(I337="",TODAY(),I337))-MONTH(H337)</x:f>
        <x:v>54</x:v>
      </x:c>
      <x:c r="M337" s="36" t="n">
        <x:f>DATE(YEAR(H337),MONTH(H337),1)</x:f>
        <x:v>44562</x:v>
      </x:c>
      <x:c r="N337" s="36" t="str">
        <x:f>IF(I337="","",DATE(YEAR(I337),MONTH(I337),1))</x:f>
      </x:c>
    </x:row>
    <x:row r="338">
      <x:c r="A338" s="16" t="str">
        <x:v>HG-01337</x:v>
      </x:c>
      <x:c r="B338" s="16" t="str">
        <x:v>Farhan Ahmed</x:v>
      </x:c>
      <x:c r="C338" s="16" t="str">
        <x:v>Male</x:v>
      </x:c>
      <x:c r="D338" s="16" t="str">
        <x:v>Sales &amp; Marketing</x:v>
      </x:c>
      <x:c r="E338" s="16" t="str">
        <x:v>Key Account Executive</x:v>
      </x:c>
      <x:c r="F338" s="16" t="str">
        <x:v>Dhaka Head Office</x:v>
      </x:c>
      <x:c r="G338" s="16" t="str">
        <x:v>Probation</x:v>
      </x:c>
      <x:c r="H338" s="35" t="n">
        <x:v>44530</x:v>
      </x:c>
      <x:c r="I338" s="35"/>
      <x:c r="J338" s="16" t="str"/>
      <x:c r="K338" s="16" t="str">
        <x:f>IF(I338="","Active","Exited")</x:f>
        <x:v>Active</x:v>
      </x:c>
      <x:c r="L338" s="16" t="n">
        <x:f>(YEAR(IF(I338="",TODAY(),I338))-YEAR(H338))*12+MONTH(IF(I338="",TODAY(),I338))-MONTH(H338)</x:f>
        <x:v>56</x:v>
      </x:c>
      <x:c r="M338" s="36" t="n">
        <x:f>DATE(YEAR(H338),MONTH(H338),1)</x:f>
        <x:v>44501</x:v>
      </x:c>
      <x:c r="N338" s="36" t="str">
        <x:f>IF(I338="","",DATE(YEAR(I338),MONTH(I338),1))</x:f>
      </x:c>
    </x:row>
    <x:row r="339">
      <x:c r="A339" s="16" t="str">
        <x:v>HG-01338</x:v>
      </x:c>
      <x:c r="B339" s="16" t="str">
        <x:v>Rashed Khan</x:v>
      </x:c>
      <x:c r="C339" s="16" t="str">
        <x:v>Male</x:v>
      </x:c>
      <x:c r="D339" s="16" t="str">
        <x:v>Administration</x:v>
      </x:c>
      <x:c r="E339" s="16" t="str">
        <x:v>Admin Executive</x:v>
      </x:c>
      <x:c r="F339" s="16" t="str">
        <x:v>Gazipur Plant</x:v>
      </x:c>
      <x:c r="G339" s="16" t="str">
        <x:v>Permanent</x:v>
      </x:c>
      <x:c r="H339" s="35" t="n">
        <x:v>43551</x:v>
      </x:c>
      <x:c r="I339" s="35"/>
      <x:c r="J339" s="16" t="str"/>
      <x:c r="K339" s="16" t="str">
        <x:f>IF(I339="","Active","Exited")</x:f>
        <x:v>Active</x:v>
      </x:c>
      <x:c r="L339" s="16" t="n">
        <x:f>(YEAR(IF(I339="",TODAY(),I339))-YEAR(H339))*12+MONTH(IF(I339="",TODAY(),I339))-MONTH(H339)</x:f>
        <x:v>88</x:v>
      </x:c>
      <x:c r="M339" s="36" t="n">
        <x:f>DATE(YEAR(H339),MONTH(H339),1)</x:f>
        <x:v>43525</x:v>
      </x:c>
      <x:c r="N339" s="36" t="str">
        <x:f>IF(I339="","",DATE(YEAR(I339),MONTH(I339),1))</x:f>
      </x:c>
    </x:row>
    <x:row r="340">
      <x:c r="A340" s="16" t="str">
        <x:v>HG-01339</x:v>
      </x:c>
      <x:c r="B340" s="16" t="str">
        <x:v>Tanvir Karim</x:v>
      </x:c>
      <x:c r="C340" s="16" t="str">
        <x:v>Male</x:v>
      </x:c>
      <x:c r="D340" s="16" t="str">
        <x:v>Production</x:v>
      </x:c>
      <x:c r="E340" s="16" t="str">
        <x:v>Production Operator</x:v>
      </x:c>
      <x:c r="F340" s="16" t="str">
        <x:v>Chattogram Office</x:v>
      </x:c>
      <x:c r="G340" s="16" t="str">
        <x:v>Permanent</x:v>
      </x:c>
      <x:c r="H340" s="35" t="n">
        <x:v>43111</x:v>
      </x:c>
      <x:c r="I340" s="35"/>
      <x:c r="J340" s="16" t="str"/>
      <x:c r="K340" s="16" t="str">
        <x:f>IF(I340="","Active","Exited")</x:f>
        <x:v>Active</x:v>
      </x:c>
      <x:c r="L340" s="16" t="n">
        <x:f>(YEAR(IF(I340="",TODAY(),I340))-YEAR(H340))*12+MONTH(IF(I340="",TODAY(),I340))-MONTH(H340)</x:f>
        <x:v>102</x:v>
      </x:c>
      <x:c r="M340" s="36" t="n">
        <x:f>DATE(YEAR(H340),MONTH(H340),1)</x:f>
        <x:v>43101</x:v>
      </x:c>
      <x:c r="N340" s="36" t="str">
        <x:f>IF(I340="","",DATE(YEAR(I340),MONTH(I340),1))</x:f>
      </x:c>
    </x:row>
    <x:row r="341">
      <x:c r="A341" s="16" t="str">
        <x:v>HG-01340</x:v>
      </x:c>
      <x:c r="B341" s="16" t="str">
        <x:v>Tasnim Chowdhury</x:v>
      </x:c>
      <x:c r="C341" s="16" t="str">
        <x:v>Female</x:v>
      </x:c>
      <x:c r="D341" s="16" t="str">
        <x:v>Production</x:v>
      </x:c>
      <x:c r="E341" s="16" t="str">
        <x:v>Production Officer</x:v>
      </x:c>
      <x:c r="F341" s="16" t="str">
        <x:v>Gazipur Plant</x:v>
      </x:c>
      <x:c r="G341" s="16" t="str">
        <x:v>Permanent</x:v>
      </x:c>
      <x:c r="H341" s="35" t="n">
        <x:v>43441</x:v>
      </x:c>
      <x:c r="I341" s="35"/>
      <x:c r="J341" s="16" t="str"/>
      <x:c r="K341" s="16" t="str">
        <x:f>IF(I341="","Active","Exited")</x:f>
        <x:v>Active</x:v>
      </x:c>
      <x:c r="L341" s="16" t="n">
        <x:f>(YEAR(IF(I341="",TODAY(),I341))-YEAR(H341))*12+MONTH(IF(I341="",TODAY(),I341))-MONTH(H341)</x:f>
        <x:v>91</x:v>
      </x:c>
      <x:c r="M341" s="36" t="n">
        <x:f>DATE(YEAR(H341),MONTH(H341),1)</x:f>
        <x:v>43435</x:v>
      </x:c>
      <x:c r="N341" s="36" t="str">
        <x:f>IF(I341="","",DATE(YEAR(I341),MONTH(I341),1))</x:f>
      </x:c>
    </x:row>
    <x:row r="342">
      <x:c r="A342" s="16" t="str">
        <x:v>HG-01341</x:v>
      </x:c>
      <x:c r="B342" s="16" t="str">
        <x:v>Jannat Sarker</x:v>
      </x:c>
      <x:c r="C342" s="16" t="str">
        <x:v>Female</x:v>
      </x:c>
      <x:c r="D342" s="16" t="str">
        <x:v>Production</x:v>
      </x:c>
      <x:c r="E342" s="16" t="str">
        <x:v>Production Officer</x:v>
      </x:c>
      <x:c r="F342" s="16" t="str">
        <x:v>Narayanganj Plant</x:v>
      </x:c>
      <x:c r="G342" s="16" t="str">
        <x:v>Permanent</x:v>
      </x:c>
      <x:c r="H342" s="35" t="n">
        <x:v>42846</x:v>
      </x:c>
      <x:c r="I342" s="35" t="n">
        <x:v>45779</x:v>
      </x:c>
      <x:c r="J342" s="16" t="str">
        <x:v>Better Opportunity</x:v>
      </x:c>
      <x:c r="K342" s="16" t="str">
        <x:f>IF(I342="","Active","Exited")</x:f>
        <x:v>Exited</x:v>
      </x:c>
      <x:c r="L342" s="16" t="n">
        <x:f>(YEAR(IF(I342="",TODAY(),I342))-YEAR(H342))*12+MONTH(IF(I342="",TODAY(),I342))-MONTH(H342)</x:f>
        <x:v>97</x:v>
      </x:c>
      <x:c r="M342" s="36" t="n">
        <x:f>DATE(YEAR(H342),MONTH(H342),1)</x:f>
        <x:v>42826</x:v>
      </x:c>
      <x:c r="N342" s="36" t="n">
        <x:f>IF(I342="","",DATE(YEAR(I342),MONTH(I342),1))</x:f>
        <x:v>45778</x:v>
      </x:c>
    </x:row>
    <x:row r="343">
      <x:c r="A343" s="16" t="str">
        <x:v>HG-01342</x:v>
      </x:c>
      <x:c r="B343" s="16" t="str">
        <x:v>Arif Islam</x:v>
      </x:c>
      <x:c r="C343" s="16" t="str">
        <x:v>Male</x:v>
      </x:c>
      <x:c r="D343" s="16" t="str">
        <x:v>Information Technology</x:v>
      </x:c>
      <x:c r="E343" s="16" t="str">
        <x:v>IT Support Executive</x:v>
      </x:c>
      <x:c r="F343" s="16" t="str">
        <x:v>Chattogram Office</x:v>
      </x:c>
      <x:c r="G343" s="16" t="str">
        <x:v>Permanent</x:v>
      </x:c>
      <x:c r="H343" s="35" t="n">
        <x:v>44640</x:v>
      </x:c>
      <x:c r="I343" s="35"/>
      <x:c r="J343" s="16" t="str"/>
      <x:c r="K343" s="16" t="str">
        <x:f>IF(I343="","Active","Exited")</x:f>
        <x:v>Active</x:v>
      </x:c>
      <x:c r="L343" s="16" t="n">
        <x:f>(YEAR(IF(I343="",TODAY(),I343))-YEAR(H343))*12+MONTH(IF(I343="",TODAY(),I343))-MONTH(H343)</x:f>
        <x:v>52</x:v>
      </x:c>
      <x:c r="M343" s="36" t="n">
        <x:f>DATE(YEAR(H343),MONTH(H343),1)</x:f>
        <x:v>44621</x:v>
      </x:c>
      <x:c r="N343" s="36" t="str">
        <x:f>IF(I343="","",DATE(YEAR(I343),MONTH(I343),1))</x:f>
      </x:c>
    </x:row>
    <x:row r="344">
      <x:c r="A344" s="16" t="str">
        <x:v>HG-01343</x:v>
      </x:c>
      <x:c r="B344" s="16" t="str">
        <x:v>Foysal Karim</x:v>
      </x:c>
      <x:c r="C344" s="16" t="str">
        <x:v>Male</x:v>
      </x:c>
      <x:c r="D344" s="16" t="str">
        <x:v>Information Technology</x:v>
      </x:c>
      <x:c r="E344" s="16" t="str">
        <x:v>Software Executive</x:v>
      </x:c>
      <x:c r="F344" s="16" t="str">
        <x:v>Chattogram Office</x:v>
      </x:c>
      <x:c r="G344" s="16" t="str">
        <x:v>Permanent</x:v>
      </x:c>
      <x:c r="H344" s="35" t="n">
        <x:v>44338</x:v>
      </x:c>
      <x:c r="I344" s="35"/>
      <x:c r="J344" s="16" t="str"/>
      <x:c r="K344" s="16" t="str">
        <x:f>IF(I344="","Active","Exited")</x:f>
        <x:v>Active</x:v>
      </x:c>
      <x:c r="L344" s="16" t="n">
        <x:f>(YEAR(IF(I344="",TODAY(),I344))-YEAR(H344))*12+MONTH(IF(I344="",TODAY(),I344))-MONTH(H344)</x:f>
        <x:v>62</x:v>
      </x:c>
      <x:c r="M344" s="36" t="n">
        <x:f>DATE(YEAR(H344),MONTH(H344),1)</x:f>
        <x:v>44317</x:v>
      </x:c>
      <x:c r="N344" s="36" t="str">
        <x:f>IF(I344="","",DATE(YEAR(I344),MONTH(I344),1))</x:f>
      </x:c>
    </x:row>
    <x:row r="345">
      <x:c r="A345" s="16" t="str">
        <x:v>HG-01344</x:v>
      </x:c>
      <x:c r="B345" s="16" t="str">
        <x:v>Sajid Hossain</x:v>
      </x:c>
      <x:c r="C345" s="16" t="str">
        <x:v>Male</x:v>
      </x:c>
      <x:c r="D345" s="16" t="str">
        <x:v>Sales &amp; Marketing</x:v>
      </x:c>
      <x:c r="E345" s="16" t="str">
        <x:v>Sales Executive</x:v>
      </x:c>
      <x:c r="F345" s="16" t="str">
        <x:v>Gazipur Plant</x:v>
      </x:c>
      <x:c r="G345" s="16" t="str">
        <x:v>Permanent</x:v>
      </x:c>
      <x:c r="H345" s="35" t="n">
        <x:v>44097</x:v>
      </x:c>
      <x:c r="I345" s="35"/>
      <x:c r="J345" s="16" t="str"/>
      <x:c r="K345" s="16" t="str">
        <x:f>IF(I345="","Active","Exited")</x:f>
        <x:v>Active</x:v>
      </x:c>
      <x:c r="L345" s="16" t="n">
        <x:f>(YEAR(IF(I345="",TODAY(),I345))-YEAR(H345))*12+MONTH(IF(I345="",TODAY(),I345))-MONTH(H345)</x:f>
        <x:v>70</x:v>
      </x:c>
      <x:c r="M345" s="36" t="n">
        <x:f>DATE(YEAR(H345),MONTH(H345),1)</x:f>
        <x:v>44075</x:v>
      </x:c>
      <x:c r="N345" s="36" t="str">
        <x:f>IF(I345="","",DATE(YEAR(I345),MONTH(I345),1))</x:f>
      </x:c>
    </x:row>
    <x:row r="346">
      <x:c r="A346" s="16" t="str">
        <x:v>HG-01345</x:v>
      </x:c>
      <x:c r="B346" s="16" t="str">
        <x:v>Jubayer Hasan</x:v>
      </x:c>
      <x:c r="C346" s="16" t="str">
        <x:v>Male</x:v>
      </x:c>
      <x:c r="D346" s="16" t="str">
        <x:v>Quality Assurance</x:v>
      </x:c>
      <x:c r="E346" s="16" t="str">
        <x:v>QA Officer</x:v>
      </x:c>
      <x:c r="F346" s="16" t="str">
        <x:v>Dhaka Head Office</x:v>
      </x:c>
      <x:c r="G346" s="16" t="str">
        <x:v>Permanent</x:v>
      </x:c>
      <x:c r="H346" s="35" t="n">
        <x:v>44864</x:v>
      </x:c>
      <x:c r="I346" s="35" t="n">
        <x:v>45713</x:v>
      </x:c>
      <x:c r="J346" s="16" t="str">
        <x:v>Career Growth</x:v>
      </x:c>
      <x:c r="K346" s="16" t="str">
        <x:f>IF(I346="","Active","Exited")</x:f>
        <x:v>Exited</x:v>
      </x:c>
      <x:c r="L346" s="16" t="n">
        <x:f>(YEAR(IF(I346="",TODAY(),I346))-YEAR(H346))*12+MONTH(IF(I346="",TODAY(),I346))-MONTH(H346)</x:f>
        <x:v>28</x:v>
      </x:c>
      <x:c r="M346" s="36" t="n">
        <x:f>DATE(YEAR(H346),MONTH(H346),1)</x:f>
        <x:v>44835</x:v>
      </x:c>
      <x:c r="N346" s="36" t="n">
        <x:f>IF(I346="","",DATE(YEAR(I346),MONTH(I346),1))</x:f>
        <x:v>45689</x:v>
      </x:c>
    </x:row>
    <x:row r="347">
      <x:c r="A347" s="16" t="str">
        <x:v>HG-01346</x:v>
      </x:c>
      <x:c r="B347" s="16" t="str">
        <x:v>Sumaiya Alam</x:v>
      </x:c>
      <x:c r="C347" s="16" t="str">
        <x:v>Female</x:v>
      </x:c>
      <x:c r="D347" s="16" t="str">
        <x:v>Supply Chain</x:v>
      </x:c>
      <x:c r="E347" s="16" t="str">
        <x:v>Logistics Executive</x:v>
      </x:c>
      <x:c r="F347" s="16" t="str">
        <x:v>Gazipur Plant</x:v>
      </x:c>
      <x:c r="G347" s="16" t="str">
        <x:v>Permanent</x:v>
      </x:c>
      <x:c r="H347" s="35" t="n">
        <x:v>43347</x:v>
      </x:c>
      <x:c r="I347" s="35"/>
      <x:c r="J347" s="16" t="str"/>
      <x:c r="K347" s="16" t="str">
        <x:f>IF(I347="","Active","Exited")</x:f>
        <x:v>Active</x:v>
      </x:c>
      <x:c r="L347" s="16" t="n">
        <x:f>(YEAR(IF(I347="",TODAY(),I347))-YEAR(H347))*12+MONTH(IF(I347="",TODAY(),I347))-MONTH(H347)</x:f>
        <x:v>94</x:v>
      </x:c>
      <x:c r="M347" s="36" t="n">
        <x:f>DATE(YEAR(H347),MONTH(H347),1)</x:f>
        <x:v>43344</x:v>
      </x:c>
      <x:c r="N347" s="36" t="str">
        <x:f>IF(I347="","",DATE(YEAR(I347),MONTH(I347),1))</x:f>
      </x:c>
    </x:row>
    <x:row r="348">
      <x:c r="A348" s="16" t="str">
        <x:v>HG-01347</x:v>
      </x:c>
      <x:c r="B348" s="16" t="str">
        <x:v>Tanvir Ahmed</x:v>
      </x:c>
      <x:c r="C348" s="16" t="str">
        <x:v>Male</x:v>
      </x:c>
      <x:c r="D348" s="16" t="str">
        <x:v>Production</x:v>
      </x:c>
      <x:c r="E348" s="16" t="str">
        <x:v>Assistant Manager - Production</x:v>
      </x:c>
      <x:c r="F348" s="16" t="str">
        <x:v>Gazipur Plant</x:v>
      </x:c>
      <x:c r="G348" s="16" t="str">
        <x:v>Permanent</x:v>
      </x:c>
      <x:c r="H348" s="35" t="n">
        <x:v>44577</x:v>
      </x:c>
      <x:c r="I348" s="35"/>
      <x:c r="J348" s="16" t="str"/>
      <x:c r="K348" s="16" t="str">
        <x:f>IF(I348="","Active","Exited")</x:f>
        <x:v>Active</x:v>
      </x:c>
      <x:c r="L348" s="16" t="n">
        <x:f>(YEAR(IF(I348="",TODAY(),I348))-YEAR(H348))*12+MONTH(IF(I348="",TODAY(),I348))-MONTH(H348)</x:f>
        <x:v>54</x:v>
      </x:c>
      <x:c r="M348" s="36" t="n">
        <x:f>DATE(YEAR(H348),MONTH(H348),1)</x:f>
        <x:v>44562</x:v>
      </x:c>
      <x:c r="N348" s="36" t="str">
        <x:f>IF(I348="","",DATE(YEAR(I348),MONTH(I348),1))</x:f>
      </x:c>
    </x:row>
    <x:row r="349">
      <x:c r="A349" s="16" t="str">
        <x:v>HG-01348</x:v>
      </x:c>
      <x:c r="B349" s="16" t="str">
        <x:v>Asif Islam</x:v>
      </x:c>
      <x:c r="C349" s="16" t="str">
        <x:v>Male</x:v>
      </x:c>
      <x:c r="D349" s="16" t="str">
        <x:v>Production</x:v>
      </x:c>
      <x:c r="E349" s="16" t="str">
        <x:v>Senior Operator</x:v>
      </x:c>
      <x:c r="F349" s="16" t="str">
        <x:v>Gazipur Plant</x:v>
      </x:c>
      <x:c r="G349" s="16" t="str">
        <x:v>Permanent</x:v>
      </x:c>
      <x:c r="H349" s="35" t="n">
        <x:v>43892</x:v>
      </x:c>
      <x:c r="I349" s="35"/>
      <x:c r="J349" s="16" t="str"/>
      <x:c r="K349" s="16" t="str">
        <x:f>IF(I349="","Active","Exited")</x:f>
        <x:v>Active</x:v>
      </x:c>
      <x:c r="L349" s="16" t="n">
        <x:f>(YEAR(IF(I349="",TODAY(),I349))-YEAR(H349))*12+MONTH(IF(I349="",TODAY(),I349))-MONTH(H349)</x:f>
        <x:v>76</x:v>
      </x:c>
      <x:c r="M349" s="36" t="n">
        <x:f>DATE(YEAR(H349),MONTH(H349),1)</x:f>
        <x:v>43891</x:v>
      </x:c>
      <x:c r="N349" s="36" t="str">
        <x:f>IF(I349="","",DATE(YEAR(I349),MONTH(I349),1))</x:f>
      </x:c>
    </x:row>
    <x:row r="350">
      <x:c r="A350" s="16" t="str">
        <x:v>HG-01349</x:v>
      </x:c>
      <x:c r="B350" s="16" t="str">
        <x:v>Foysal Begum</x:v>
      </x:c>
      <x:c r="C350" s="16" t="str">
        <x:v>Male</x:v>
      </x:c>
      <x:c r="D350" s="16" t="str">
        <x:v>Production</x:v>
      </x:c>
      <x:c r="E350" s="16" t="str">
        <x:v>Senior Operator</x:v>
      </x:c>
      <x:c r="F350" s="16" t="str">
        <x:v>Gazipur Plant</x:v>
      </x:c>
      <x:c r="G350" s="16" t="str">
        <x:v>Contract</x:v>
      </x:c>
      <x:c r="H350" s="35" t="n">
        <x:v>44588</x:v>
      </x:c>
      <x:c r="I350" s="35"/>
      <x:c r="J350" s="16" t="str"/>
      <x:c r="K350" s="16" t="str">
        <x:f>IF(I350="","Active","Exited")</x:f>
        <x:v>Active</x:v>
      </x:c>
      <x:c r="L350" s="16" t="n">
        <x:f>(YEAR(IF(I350="",TODAY(),I350))-YEAR(H350))*12+MONTH(IF(I350="",TODAY(),I350))-MONTH(H350)</x:f>
        <x:v>54</x:v>
      </x:c>
      <x:c r="M350" s="36" t="n">
        <x:f>DATE(YEAR(H350),MONTH(H350),1)</x:f>
        <x:v>44562</x:v>
      </x:c>
      <x:c r="N350" s="36" t="str">
        <x:f>IF(I350="","",DATE(YEAR(I350),MONTH(I350),1))</x:f>
      </x:c>
    </x:row>
    <x:row r="351">
      <x:c r="A351" s="16" t="str">
        <x:v>HG-01350</x:v>
      </x:c>
      <x:c r="B351" s="16" t="str">
        <x:v>Sabbir Sarker</x:v>
      </x:c>
      <x:c r="C351" s="16" t="str">
        <x:v>Male</x:v>
      </x:c>
      <x:c r="D351" s="16" t="str">
        <x:v>Production</x:v>
      </x:c>
      <x:c r="E351" s="16" t="str">
        <x:v>Senior Operator</x:v>
      </x:c>
      <x:c r="F351" s="16" t="str">
        <x:v>Gazipur Plant</x:v>
      </x:c>
      <x:c r="G351" s="16" t="str">
        <x:v>Permanent</x:v>
      </x:c>
      <x:c r="H351" s="35" t="n">
        <x:v>43958</x:v>
      </x:c>
      <x:c r="I351" s="35" t="n">
        <x:v>45845</x:v>
      </x:c>
      <x:c r="J351" s="16" t="str">
        <x:v>Better Opportunity</x:v>
      </x:c>
      <x:c r="K351" s="16" t="str">
        <x:f>IF(I351="","Active","Exited")</x:f>
        <x:v>Exited</x:v>
      </x:c>
      <x:c r="L351" s="16" t="n">
        <x:f>(YEAR(IF(I351="",TODAY(),I351))-YEAR(H351))*12+MONTH(IF(I351="",TODAY(),I351))-MONTH(H351)</x:f>
        <x:v>62</x:v>
      </x:c>
      <x:c r="M351" s="36" t="n">
        <x:f>DATE(YEAR(H351),MONTH(H351),1)</x:f>
        <x:v>43952</x:v>
      </x:c>
      <x:c r="N351" s="36" t="n">
        <x:f>IF(I351="","",DATE(YEAR(I351),MONTH(I351),1))</x:f>
        <x:v>45839</x:v>
      </x:c>
    </x:row>
    <x:row r="352">
      <x:c r="A352" s="16" t="str">
        <x:v>HG-01351</x:v>
      </x:c>
      <x:c r="B352" s="16" t="str">
        <x:v>Rumana Rahman</x:v>
      </x:c>
      <x:c r="C352" s="16" t="str">
        <x:v>Female</x:v>
      </x:c>
      <x:c r="D352" s="16" t="str">
        <x:v>Quality Assurance</x:v>
      </x:c>
      <x:c r="E352" s="16" t="str">
        <x:v>Compliance Executive</x:v>
      </x:c>
      <x:c r="F352" s="16" t="str">
        <x:v>Narayanganj Plant</x:v>
      </x:c>
      <x:c r="G352" s="16" t="str">
        <x:v>Permanent</x:v>
      </x:c>
      <x:c r="H352" s="35" t="n">
        <x:v>45282</x:v>
      </x:c>
      <x:c r="I352" s="35" t="n">
        <x:v>45704</x:v>
      </x:c>
      <x:c r="J352" s="16" t="str">
        <x:v>Work-Life Balance</x:v>
      </x:c>
      <x:c r="K352" s="16" t="str">
        <x:f>IF(I352="","Active","Exited")</x:f>
        <x:v>Exited</x:v>
      </x:c>
      <x:c r="L352" s="16" t="n">
        <x:f>(YEAR(IF(I352="",TODAY(),I352))-YEAR(H352))*12+MONTH(IF(I352="",TODAY(),I352))-MONTH(H352)</x:f>
        <x:v>14</x:v>
      </x:c>
      <x:c r="M352" s="36" t="n">
        <x:f>DATE(YEAR(H352),MONTH(H352),1)</x:f>
        <x:v>45261</x:v>
      </x:c>
      <x:c r="N352" s="36" t="n">
        <x:f>IF(I352="","",DATE(YEAR(I352),MONTH(I352),1))</x:f>
        <x:v>45689</x:v>
      </x:c>
    </x:row>
    <x:row r="353">
      <x:c r="A353" s="16" t="str">
        <x:v>HG-01352</x:v>
      </x:c>
      <x:c r="B353" s="16" t="str">
        <x:v>Mizan Kabir</x:v>
      </x:c>
      <x:c r="C353" s="16" t="str">
        <x:v>Male</x:v>
      </x:c>
      <x:c r="D353" s="16" t="str">
        <x:v>Production</x:v>
      </x:c>
      <x:c r="E353" s="16" t="str">
        <x:v>Production Officer</x:v>
      </x:c>
      <x:c r="F353" s="16" t="str">
        <x:v>Dhaka Head Office</x:v>
      </x:c>
      <x:c r="G353" s="16" t="str">
        <x:v>Contract</x:v>
      </x:c>
      <x:c r="H353" s="35" t="n">
        <x:v>44703</x:v>
      </x:c>
      <x:c r="I353" s="35"/>
      <x:c r="J353" s="16" t="str"/>
      <x:c r="K353" s="16" t="str">
        <x:f>IF(I353="","Active","Exited")</x:f>
        <x:v>Active</x:v>
      </x:c>
      <x:c r="L353" s="16" t="n">
        <x:f>(YEAR(IF(I353="",TODAY(),I353))-YEAR(H353))*12+MONTH(IF(I353="",TODAY(),I353))-MONTH(H353)</x:f>
        <x:v>50</x:v>
      </x:c>
      <x:c r="M353" s="36" t="n">
        <x:f>DATE(YEAR(H353),MONTH(H353),1)</x:f>
        <x:v>44682</x:v>
      </x:c>
      <x:c r="N353" s="36" t="str">
        <x:f>IF(I353="","",DATE(YEAR(I353),MONTH(I353),1))</x:f>
      </x:c>
    </x:row>
    <x:row r="354">
      <x:c r="A354" s="16" t="str">
        <x:v>HG-01353</x:v>
      </x:c>
      <x:c r="B354" s="16" t="str">
        <x:v>Farhan Karim</x:v>
      </x:c>
      <x:c r="C354" s="16" t="str">
        <x:v>Male</x:v>
      </x:c>
      <x:c r="D354" s="16" t="str">
        <x:v>Quality Assurance</x:v>
      </x:c>
      <x:c r="E354" s="16" t="str">
        <x:v>Quality Inspector</x:v>
      </x:c>
      <x:c r="F354" s="16" t="str">
        <x:v>Chattogram Office</x:v>
      </x:c>
      <x:c r="G354" s="16" t="str">
        <x:v>Permanent</x:v>
      </x:c>
      <x:c r="H354" s="35" t="n">
        <x:v>43917</x:v>
      </x:c>
      <x:c r="I354" s="35" t="n">
        <x:v>45758</x:v>
      </x:c>
      <x:c r="J354" s="16" t="str">
        <x:v>Career Growth</x:v>
      </x:c>
      <x:c r="K354" s="16" t="str">
        <x:f>IF(I354="","Active","Exited")</x:f>
        <x:v>Exited</x:v>
      </x:c>
      <x:c r="L354" s="16" t="n">
        <x:f>(YEAR(IF(I354="",TODAY(),I354))-YEAR(H354))*12+MONTH(IF(I354="",TODAY(),I354))-MONTH(H354)</x:f>
        <x:v>61</x:v>
      </x:c>
      <x:c r="M354" s="36" t="n">
        <x:f>DATE(YEAR(H354),MONTH(H354),1)</x:f>
        <x:v>43891</x:v>
      </x:c>
      <x:c r="N354" s="36" t="n">
        <x:f>IF(I354="","",DATE(YEAR(I354),MONTH(I354),1))</x:f>
        <x:v>45748</x:v>
      </x:c>
    </x:row>
    <x:row r="355">
      <x:c r="A355" s="16" t="str">
        <x:v>HG-01354</x:v>
      </x:c>
      <x:c r="B355" s="16" t="str">
        <x:v>Rafi Hossain</x:v>
      </x:c>
      <x:c r="C355" s="16" t="str">
        <x:v>Male</x:v>
      </x:c>
      <x:c r="D355" s="16" t="str">
        <x:v>Quality Assurance</x:v>
      </x:c>
      <x:c r="E355" s="16" t="str">
        <x:v>Quality Inspector</x:v>
      </x:c>
      <x:c r="F355" s="16" t="str">
        <x:v>Narayanganj Plant</x:v>
      </x:c>
      <x:c r="G355" s="16" t="str">
        <x:v>Permanent</x:v>
      </x:c>
      <x:c r="H355" s="35" t="n">
        <x:v>44892</x:v>
      </x:c>
      <x:c r="I355" s="35"/>
      <x:c r="J355" s="16" t="str"/>
      <x:c r="K355" s="16" t="str">
        <x:f>IF(I355="","Active","Exited")</x:f>
        <x:v>Active</x:v>
      </x:c>
      <x:c r="L355" s="16" t="n">
        <x:f>(YEAR(IF(I355="",TODAY(),I355))-YEAR(H355))*12+MONTH(IF(I355="",TODAY(),I355))-MONTH(H355)</x:f>
        <x:v>44</x:v>
      </x:c>
      <x:c r="M355" s="36" t="n">
        <x:f>DATE(YEAR(H355),MONTH(H355),1)</x:f>
        <x:v>44866</x:v>
      </x:c>
      <x:c r="N355" s="36" t="str">
        <x:f>IF(I355="","",DATE(YEAR(I355),MONTH(I355),1))</x:f>
      </x:c>
    </x:row>
    <x:row r="356">
      <x:c r="A356" s="16" t="str">
        <x:v>HG-01355</x:v>
      </x:c>
      <x:c r="B356" s="16" t="str">
        <x:v>Nayeem Islam</x:v>
      </x:c>
      <x:c r="C356" s="16" t="str">
        <x:v>Male</x:v>
      </x:c>
      <x:c r="D356" s="16" t="str">
        <x:v>Sales &amp; Marketing</x:v>
      </x:c>
      <x:c r="E356" s="16" t="str">
        <x:v>Territory Officer</x:v>
      </x:c>
      <x:c r="F356" s="16" t="str">
        <x:v>Dhaka Head Office</x:v>
      </x:c>
      <x:c r="G356" s="16" t="str">
        <x:v>Permanent</x:v>
      </x:c>
      <x:c r="H356" s="35" t="n">
        <x:v>43048</x:v>
      </x:c>
      <x:c r="I356" s="35"/>
      <x:c r="J356" s="16" t="str"/>
      <x:c r="K356" s="16" t="str">
        <x:f>IF(I356="","Active","Exited")</x:f>
        <x:v>Active</x:v>
      </x:c>
      <x:c r="L356" s="16" t="n">
        <x:f>(YEAR(IF(I356="",TODAY(),I356))-YEAR(H356))*12+MONTH(IF(I356="",TODAY(),I356))-MONTH(H356)</x:f>
        <x:v>104</x:v>
      </x:c>
      <x:c r="M356" s="36" t="n">
        <x:f>DATE(YEAR(H356),MONTH(H356),1)</x:f>
        <x:v>43040</x:v>
      </x:c>
      <x:c r="N356" s="36" t="str">
        <x:f>IF(I356="","",DATE(YEAR(I356),MONTH(I356),1))</x:f>
      </x:c>
    </x:row>
    <x:row r="357">
      <x:c r="A357" s="16" t="str">
        <x:v>HG-01356</x:v>
      </x:c>
      <x:c r="B357" s="16" t="str">
        <x:v>Imran Karim</x:v>
      </x:c>
      <x:c r="C357" s="16" t="str">
        <x:v>Male</x:v>
      </x:c>
      <x:c r="D357" s="16" t="str">
        <x:v>Sales &amp; Marketing</x:v>
      </x:c>
      <x:c r="E357" s="16" t="str">
        <x:v>Key Account Executive</x:v>
      </x:c>
      <x:c r="F357" s="16" t="str">
        <x:v>Dhaka Head Office</x:v>
      </x:c>
      <x:c r="G357" s="16" t="str">
        <x:v>Permanent</x:v>
      </x:c>
      <x:c r="H357" s="35" t="n">
        <x:v>44499</x:v>
      </x:c>
      <x:c r="I357" s="35"/>
      <x:c r="J357" s="16" t="str"/>
      <x:c r="K357" s="16" t="str">
        <x:f>IF(I357="","Active","Exited")</x:f>
        <x:v>Active</x:v>
      </x:c>
      <x:c r="L357" s="16" t="n">
        <x:f>(YEAR(IF(I357="",TODAY(),I357))-YEAR(H357))*12+MONTH(IF(I357="",TODAY(),I357))-MONTH(H357)</x:f>
        <x:v>57</x:v>
      </x:c>
      <x:c r="M357" s="36" t="n">
        <x:f>DATE(YEAR(H357),MONTH(H357),1)</x:f>
        <x:v>44470</x:v>
      </x:c>
      <x:c r="N357" s="36" t="str">
        <x:f>IF(I357="","",DATE(YEAR(I357),MONTH(I357),1))</x:f>
      </x:c>
    </x:row>
    <x:row r="358">
      <x:c r="A358" s="16" t="str">
        <x:v>HG-01357</x:v>
      </x:c>
      <x:c r="B358" s="16" t="str">
        <x:v>Sabbir Alam</x:v>
      </x:c>
      <x:c r="C358" s="16" t="str">
        <x:v>Male</x:v>
      </x:c>
      <x:c r="D358" s="16" t="str">
        <x:v>Administration</x:v>
      </x:c>
      <x:c r="E358" s="16" t="str">
        <x:v>Assistant Manager - Admin</x:v>
      </x:c>
      <x:c r="F358" s="16" t="str">
        <x:v>Narayanganj Plant</x:v>
      </x:c>
      <x:c r="G358" s="16" t="str">
        <x:v>Permanent</x:v>
      </x:c>
      <x:c r="H358" s="35" t="n">
        <x:v>43047</x:v>
      </x:c>
      <x:c r="I358" s="35"/>
      <x:c r="J358" s="16" t="str"/>
      <x:c r="K358" s="16" t="str">
        <x:f>IF(I358="","Active","Exited")</x:f>
        <x:v>Active</x:v>
      </x:c>
      <x:c r="L358" s="16" t="n">
        <x:f>(YEAR(IF(I358="",TODAY(),I358))-YEAR(H358))*12+MONTH(IF(I358="",TODAY(),I358))-MONTH(H358)</x:f>
        <x:v>104</x:v>
      </x:c>
      <x:c r="M358" s="36" t="n">
        <x:f>DATE(YEAR(H358),MONTH(H358),1)</x:f>
        <x:v>43040</x:v>
      </x:c>
      <x:c r="N358" s="36" t="str">
        <x:f>IF(I358="","",DATE(YEAR(I358),MONTH(I358),1))</x:f>
      </x:c>
    </x:row>
    <x:row r="359">
      <x:c r="A359" s="16" t="str">
        <x:v>HG-01358</x:v>
      </x:c>
      <x:c r="B359" s="16" t="str">
        <x:v>Sumaiya Sarker</x:v>
      </x:c>
      <x:c r="C359" s="16" t="str">
        <x:v>Female</x:v>
      </x:c>
      <x:c r="D359" s="16" t="str">
        <x:v>Production</x:v>
      </x:c>
      <x:c r="E359" s="16" t="str">
        <x:v>Production Operator</x:v>
      </x:c>
      <x:c r="F359" s="16" t="str">
        <x:v>Narayanganj Plant</x:v>
      </x:c>
      <x:c r="G359" s="16" t="str">
        <x:v>Contract</x:v>
      </x:c>
      <x:c r="H359" s="35" t="n">
        <x:v>43469</x:v>
      </x:c>
      <x:c r="I359" s="35"/>
      <x:c r="J359" s="16" t="str"/>
      <x:c r="K359" s="16" t="str">
        <x:f>IF(I359="","Active","Exited")</x:f>
        <x:v>Active</x:v>
      </x:c>
      <x:c r="L359" s="16" t="n">
        <x:f>(YEAR(IF(I359="",TODAY(),I359))-YEAR(H359))*12+MONTH(IF(I359="",TODAY(),I359))-MONTH(H359)</x:f>
        <x:v>90</x:v>
      </x:c>
      <x:c r="M359" s="36" t="n">
        <x:f>DATE(YEAR(H359),MONTH(H359),1)</x:f>
        <x:v>43466</x:v>
      </x:c>
      <x:c r="N359" s="36" t="str">
        <x:f>IF(I359="","",DATE(YEAR(I359),MONTH(I359),1))</x:f>
      </x:c>
    </x:row>
    <x:row r="360">
      <x:c r="A360" s="16" t="str">
        <x:v>HG-01359</x:v>
      </x:c>
      <x:c r="B360" s="16" t="str">
        <x:v>Nazmul Khan</x:v>
      </x:c>
      <x:c r="C360" s="16" t="str">
        <x:v>Male</x:v>
      </x:c>
      <x:c r="D360" s="16" t="str">
        <x:v>Administration</x:v>
      </x:c>
      <x:c r="E360" s="16" t="str">
        <x:v>Assistant Manager - Admin</x:v>
      </x:c>
      <x:c r="F360" s="16" t="str">
        <x:v>Chattogram Office</x:v>
      </x:c>
      <x:c r="G360" s="16" t="str">
        <x:v>Permanent</x:v>
      </x:c>
      <x:c r="H360" s="35" t="n">
        <x:v>44948</x:v>
      </x:c>
      <x:c r="I360" s="35"/>
      <x:c r="J360" s="16" t="str"/>
      <x:c r="K360" s="16" t="str">
        <x:f>IF(I360="","Active","Exited")</x:f>
        <x:v>Active</x:v>
      </x:c>
      <x:c r="L360" s="16" t="n">
        <x:f>(YEAR(IF(I360="",TODAY(),I360))-YEAR(H360))*12+MONTH(IF(I360="",TODAY(),I360))-MONTH(H360)</x:f>
        <x:v>42</x:v>
      </x:c>
      <x:c r="M360" s="36" t="n">
        <x:f>DATE(YEAR(H360),MONTH(H360),1)</x:f>
        <x:v>44927</x:v>
      </x:c>
      <x:c r="N360" s="36" t="str">
        <x:f>IF(I360="","",DATE(YEAR(I360),MONTH(I360),1))</x:f>
      </x:c>
    </x:row>
    <x:row r="361">
      <x:c r="A361" s="16" t="str">
        <x:v>HG-01360</x:v>
      </x:c>
      <x:c r="B361" s="16" t="str">
        <x:v>Farzana Khan</x:v>
      </x:c>
      <x:c r="C361" s="16" t="str">
        <x:v>Female</x:v>
      </x:c>
      <x:c r="D361" s="16" t="str">
        <x:v>Administration</x:v>
      </x:c>
      <x:c r="E361" s="16" t="str">
        <x:v>Facility Officer</x:v>
      </x:c>
      <x:c r="F361" s="16" t="str">
        <x:v>Dhaka Head Office</x:v>
      </x:c>
      <x:c r="G361" s="16" t="str">
        <x:v>Contract</x:v>
      </x:c>
      <x:c r="H361" s="35" t="n">
        <x:v>44515</x:v>
      </x:c>
      <x:c r="I361" s="35"/>
      <x:c r="J361" s="16" t="str"/>
      <x:c r="K361" s="16" t="str">
        <x:f>IF(I361="","Active","Exited")</x:f>
        <x:v>Active</x:v>
      </x:c>
      <x:c r="L361" s="16" t="n">
        <x:f>(YEAR(IF(I361="",TODAY(),I361))-YEAR(H361))*12+MONTH(IF(I361="",TODAY(),I361))-MONTH(H361)</x:f>
        <x:v>56</x:v>
      </x:c>
      <x:c r="M361" s="36" t="n">
        <x:f>DATE(YEAR(H361),MONTH(H361),1)</x:f>
        <x:v>44501</x:v>
      </x:c>
      <x:c r="N361" s="36" t="str">
        <x:f>IF(I361="","",DATE(YEAR(I361),MONTH(I361),1))</x:f>
      </x:c>
    </x:row>
    <x:row r="362">
      <x:c r="A362" s="16" t="str">
        <x:v>HG-01361</x:v>
      </x:c>
      <x:c r="B362" s="16" t="str">
        <x:v>Rafi Chowdhury</x:v>
      </x:c>
      <x:c r="C362" s="16" t="str">
        <x:v>Male</x:v>
      </x:c>
      <x:c r="D362" s="16" t="str">
        <x:v>Production</x:v>
      </x:c>
      <x:c r="E362" s="16" t="str">
        <x:v>Assistant Manager - Production</x:v>
      </x:c>
      <x:c r="F362" s="16" t="str">
        <x:v>Narayanganj Plant</x:v>
      </x:c>
      <x:c r="G362" s="16" t="str">
        <x:v>Permanent</x:v>
      </x:c>
      <x:c r="H362" s="35" t="n">
        <x:v>44143</x:v>
      </x:c>
      <x:c r="I362" s="35"/>
      <x:c r="J362" s="16" t="str"/>
      <x:c r="K362" s="16" t="str">
        <x:f>IF(I362="","Active","Exited")</x:f>
        <x:v>Active</x:v>
      </x:c>
      <x:c r="L362" s="16" t="n">
        <x:f>(YEAR(IF(I362="",TODAY(),I362))-YEAR(H362))*12+MONTH(IF(I362="",TODAY(),I362))-MONTH(H362)</x:f>
        <x:v>68</x:v>
      </x:c>
      <x:c r="M362" s="36" t="n">
        <x:f>DATE(YEAR(H362),MONTH(H362),1)</x:f>
        <x:v>44136</x:v>
      </x:c>
      <x:c r="N362" s="36" t="str">
        <x:f>IF(I362="","",DATE(YEAR(I362),MONTH(I362),1))</x:f>
      </x:c>
    </x:row>
    <x:row r="363">
      <x:c r="A363" s="16" t="str">
        <x:v>HG-01362</x:v>
      </x:c>
      <x:c r="B363" s="16" t="str">
        <x:v>Rumana Uddin</x:v>
      </x:c>
      <x:c r="C363" s="16" t="str">
        <x:v>Female</x:v>
      </x:c>
      <x:c r="D363" s="16" t="str">
        <x:v>Administration</x:v>
      </x:c>
      <x:c r="E363" s="16" t="str">
        <x:v>Facility Officer</x:v>
      </x:c>
      <x:c r="F363" s="16" t="str">
        <x:v>Chattogram Office</x:v>
      </x:c>
      <x:c r="G363" s="16" t="str">
        <x:v>Permanent</x:v>
      </x:c>
      <x:c r="H363" s="35" t="n">
        <x:v>44295</x:v>
      </x:c>
      <x:c r="I363" s="35"/>
      <x:c r="J363" s="16" t="str"/>
      <x:c r="K363" s="16" t="str">
        <x:f>IF(I363="","Active","Exited")</x:f>
        <x:v>Active</x:v>
      </x:c>
      <x:c r="L363" s="16" t="n">
        <x:f>(YEAR(IF(I363="",TODAY(),I363))-YEAR(H363))*12+MONTH(IF(I363="",TODAY(),I363))-MONTH(H363)</x:f>
        <x:v>63</x:v>
      </x:c>
      <x:c r="M363" s="36" t="n">
        <x:f>DATE(YEAR(H363),MONTH(H363),1)</x:f>
        <x:v>44287</x:v>
      </x:c>
      <x:c r="N363" s="36" t="str">
        <x:f>IF(I363="","",DATE(YEAR(I363),MONTH(I363),1))</x:f>
      </x:c>
    </x:row>
    <x:row r="364">
      <x:c r="A364" s="16" t="str">
        <x:v>HG-01363</x:v>
      </x:c>
      <x:c r="B364" s="16" t="str">
        <x:v>Mehedi Rahman</x:v>
      </x:c>
      <x:c r="C364" s="16" t="str">
        <x:v>Male</x:v>
      </x:c>
      <x:c r="D364" s="16" t="str">
        <x:v>Quality Assurance</x:v>
      </x:c>
      <x:c r="E364" s="16" t="str">
        <x:v>QA Officer</x:v>
      </x:c>
      <x:c r="F364" s="16" t="str">
        <x:v>Gazipur Plant</x:v>
      </x:c>
      <x:c r="G364" s="16" t="str">
        <x:v>Permanent</x:v>
      </x:c>
      <x:c r="H364" s="35" t="n">
        <x:v>45499</x:v>
      </x:c>
      <x:c r="I364" s="35"/>
      <x:c r="J364" s="16" t="str"/>
      <x:c r="K364" s="16" t="str">
        <x:f>IF(I364="","Active","Exited")</x:f>
        <x:v>Active</x:v>
      </x:c>
      <x:c r="L364" s="16" t="n">
        <x:f>(YEAR(IF(I364="",TODAY(),I364))-YEAR(H364))*12+MONTH(IF(I364="",TODAY(),I364))-MONTH(H364)</x:f>
        <x:v>24</x:v>
      </x:c>
      <x:c r="M364" s="36" t="n">
        <x:f>DATE(YEAR(H364),MONTH(H364),1)</x:f>
        <x:v>45474</x:v>
      </x:c>
      <x:c r="N364" s="36" t="str">
        <x:f>IF(I364="","",DATE(YEAR(I364),MONTH(I364),1))</x:f>
      </x:c>
    </x:row>
    <x:row r="365">
      <x:c r="A365" s="16" t="str">
        <x:v>HG-01364</x:v>
      </x:c>
      <x:c r="B365" s="16" t="str">
        <x:v>Foysal Rahman</x:v>
      </x:c>
      <x:c r="C365" s="16" t="str">
        <x:v>Male</x:v>
      </x:c>
      <x:c r="D365" s="16" t="str">
        <x:v>Finance &amp; Accounts</x:v>
      </x:c>
      <x:c r="E365" s="16" t="str">
        <x:v>Payroll Executive</x:v>
      </x:c>
      <x:c r="F365" s="16" t="str">
        <x:v>Dhaka Head Office</x:v>
      </x:c>
      <x:c r="G365" s="16" t="str">
        <x:v>Permanent</x:v>
      </x:c>
      <x:c r="H365" s="35" t="n">
        <x:v>43374</x:v>
      </x:c>
      <x:c r="I365" s="35"/>
      <x:c r="J365" s="16" t="str"/>
      <x:c r="K365" s="16" t="str">
        <x:f>IF(I365="","Active","Exited")</x:f>
        <x:v>Active</x:v>
      </x:c>
      <x:c r="L365" s="16" t="n">
        <x:f>(YEAR(IF(I365="",TODAY(),I365))-YEAR(H365))*12+MONTH(IF(I365="",TODAY(),I365))-MONTH(H365)</x:f>
        <x:v>93</x:v>
      </x:c>
      <x:c r="M365" s="36" t="n">
        <x:f>DATE(YEAR(H365),MONTH(H365),1)</x:f>
        <x:v>43374</x:v>
      </x:c>
      <x:c r="N365" s="36" t="str">
        <x:f>IF(I365="","",DATE(YEAR(I365),MONTH(I365),1))</x:f>
      </x:c>
    </x:row>
    <x:row r="366">
      <x:c r="A366" s="16" t="str">
        <x:v>HG-01365</x:v>
      </x:c>
      <x:c r="B366" s="16" t="str">
        <x:v>Imran Rahman</x:v>
      </x:c>
      <x:c r="C366" s="16" t="str">
        <x:v>Male</x:v>
      </x:c>
      <x:c r="D366" s="16" t="str">
        <x:v>Production</x:v>
      </x:c>
      <x:c r="E366" s="16" t="str">
        <x:v>Senior Operator</x:v>
      </x:c>
      <x:c r="F366" s="16" t="str">
        <x:v>Gazipur Plant</x:v>
      </x:c>
      <x:c r="G366" s="16" t="str">
        <x:v>Contract</x:v>
      </x:c>
      <x:c r="H366" s="35" t="n">
        <x:v>44997</x:v>
      </x:c>
      <x:c r="I366" s="35"/>
      <x:c r="J366" s="16" t="str"/>
      <x:c r="K366" s="16" t="str">
        <x:f>IF(I366="","Active","Exited")</x:f>
        <x:v>Active</x:v>
      </x:c>
      <x:c r="L366" s="16" t="n">
        <x:f>(YEAR(IF(I366="",TODAY(),I366))-YEAR(H366))*12+MONTH(IF(I366="",TODAY(),I366))-MONTH(H366)</x:f>
        <x:v>40</x:v>
      </x:c>
      <x:c r="M366" s="36" t="n">
        <x:f>DATE(YEAR(H366),MONTH(H366),1)</x:f>
        <x:v>44986</x:v>
      </x:c>
      <x:c r="N366" s="36" t="str">
        <x:f>IF(I366="","",DATE(YEAR(I366),MONTH(I366),1))</x:f>
      </x:c>
    </x:row>
    <x:row r="367">
      <x:c r="A367" s="16" t="str">
        <x:v>HG-01366</x:v>
      </x:c>
      <x:c r="B367" s="16" t="str">
        <x:v>Sabbir Uddin</x:v>
      </x:c>
      <x:c r="C367" s="16" t="str">
        <x:v>Male</x:v>
      </x:c>
      <x:c r="D367" s="16" t="str">
        <x:v>Quality Assurance</x:v>
      </x:c>
      <x:c r="E367" s="16" t="str">
        <x:v>Senior QA Executive</x:v>
      </x:c>
      <x:c r="F367" s="16" t="str">
        <x:v>Gazipur Plant</x:v>
      </x:c>
      <x:c r="G367" s="16" t="str">
        <x:v>Contract</x:v>
      </x:c>
      <x:c r="H367" s="35" t="n">
        <x:v>45498</x:v>
      </x:c>
      <x:c r="I367" s="35" t="n">
        <x:v>46161</x:v>
      </x:c>
      <x:c r="J367" s="16" t="str">
        <x:v>End of Contract</x:v>
      </x:c>
      <x:c r="K367" s="16" t="str">
        <x:f>IF(I367="","Active","Exited")</x:f>
        <x:v>Exited</x:v>
      </x:c>
      <x:c r="L367" s="16" t="n">
        <x:f>(YEAR(IF(I367="",TODAY(),I367))-YEAR(H367))*12+MONTH(IF(I367="",TODAY(),I367))-MONTH(H367)</x:f>
        <x:v>22</x:v>
      </x:c>
      <x:c r="M367" s="36" t="n">
        <x:f>DATE(YEAR(H367),MONTH(H367),1)</x:f>
        <x:v>45474</x:v>
      </x:c>
      <x:c r="N367" s="36" t="n">
        <x:f>IF(I367="","",DATE(YEAR(I367),MONTH(I367),1))</x:f>
        <x:v>46143</x:v>
      </x:c>
    </x:row>
    <x:row r="368">
      <x:c r="A368" s="16" t="str">
        <x:v>HG-01367</x:v>
      </x:c>
      <x:c r="B368" s="16" t="str">
        <x:v>Jubayer Akter</x:v>
      </x:c>
      <x:c r="C368" s="16" t="str">
        <x:v>Male</x:v>
      </x:c>
      <x:c r="D368" s="16" t="str">
        <x:v>Administration</x:v>
      </x:c>
      <x:c r="E368" s="16" t="str">
        <x:v>Admin Executive</x:v>
      </x:c>
      <x:c r="F368" s="16" t="str">
        <x:v>Dhaka Head Office</x:v>
      </x:c>
      <x:c r="G368" s="16" t="str">
        <x:v>Permanent</x:v>
      </x:c>
      <x:c r="H368" s="35" t="n">
        <x:v>43505</x:v>
      </x:c>
      <x:c r="I368" s="35"/>
      <x:c r="J368" s="16" t="str"/>
      <x:c r="K368" s="16" t="str">
        <x:f>IF(I368="","Active","Exited")</x:f>
        <x:v>Active</x:v>
      </x:c>
      <x:c r="L368" s="16" t="n">
        <x:f>(YEAR(IF(I368="",TODAY(),I368))-YEAR(H368))*12+MONTH(IF(I368="",TODAY(),I368))-MONTH(H368)</x:f>
        <x:v>89</x:v>
      </x:c>
      <x:c r="M368" s="36" t="n">
        <x:f>DATE(YEAR(H368),MONTH(H368),1)</x:f>
        <x:v>43497</x:v>
      </x:c>
      <x:c r="N368" s="36" t="str">
        <x:f>IF(I368="","",DATE(YEAR(I368),MONTH(I368),1))</x:f>
      </x:c>
    </x:row>
    <x:row r="369">
      <x:c r="A369" s="16" t="str">
        <x:v>HG-01368</x:v>
      </x:c>
      <x:c r="B369" s="16" t="str">
        <x:v>Hasan Hossain</x:v>
      </x:c>
      <x:c r="C369" s="16" t="str">
        <x:v>Male</x:v>
      </x:c>
      <x:c r="D369" s="16" t="str">
        <x:v>Information Technology</x:v>
      </x:c>
      <x:c r="E369" s="16" t="str">
        <x:v>Data Analyst</x:v>
      </x:c>
      <x:c r="F369" s="16" t="str">
        <x:v>Dhaka Head Office</x:v>
      </x:c>
      <x:c r="G369" s="16" t="str">
        <x:v>Probation</x:v>
      </x:c>
      <x:c r="H369" s="35" t="n">
        <x:v>44364</x:v>
      </x:c>
      <x:c r="I369" s="35"/>
      <x:c r="J369" s="16" t="str"/>
      <x:c r="K369" s="16" t="str">
        <x:f>IF(I369="","Active","Exited")</x:f>
        <x:v>Active</x:v>
      </x:c>
      <x:c r="L369" s="16" t="n">
        <x:f>(YEAR(IF(I369="",TODAY(),I369))-YEAR(H369))*12+MONTH(IF(I369="",TODAY(),I369))-MONTH(H369)</x:f>
        <x:v>61</x:v>
      </x:c>
      <x:c r="M369" s="36" t="n">
        <x:f>DATE(YEAR(H369),MONTH(H369),1)</x:f>
        <x:v>44348</x:v>
      </x:c>
      <x:c r="N369" s="36" t="str">
        <x:f>IF(I369="","",DATE(YEAR(I369),MONTH(I369),1))</x:f>
      </x:c>
    </x:row>
    <x:row r="370">
      <x:c r="A370" s="16" t="str">
        <x:v>HG-01369</x:v>
      </x:c>
      <x:c r="B370" s="16" t="str">
        <x:v>Jubayer Karim</x:v>
      </x:c>
      <x:c r="C370" s="16" t="str">
        <x:v>Male</x:v>
      </x:c>
      <x:c r="D370" s="16" t="str">
        <x:v>Production</x:v>
      </x:c>
      <x:c r="E370" s="16" t="str">
        <x:v>Senior Operator</x:v>
      </x:c>
      <x:c r="F370" s="16" t="str">
        <x:v>Narayanganj Plant</x:v>
      </x:c>
      <x:c r="G370" s="16" t="str">
        <x:v>Contract</x:v>
      </x:c>
      <x:c r="H370" s="35" t="n">
        <x:v>45502</x:v>
      </x:c>
      <x:c r="I370" s="35"/>
      <x:c r="J370" s="16" t="str"/>
      <x:c r="K370" s="16" t="str">
        <x:f>IF(I370="","Active","Exited")</x:f>
        <x:v>Active</x:v>
      </x:c>
      <x:c r="L370" s="16" t="n">
        <x:f>(YEAR(IF(I370="",TODAY(),I370))-YEAR(H370))*12+MONTH(IF(I370="",TODAY(),I370))-MONTH(H370)</x:f>
        <x:v>24</x:v>
      </x:c>
      <x:c r="M370" s="36" t="n">
        <x:f>DATE(YEAR(H370),MONTH(H370),1)</x:f>
        <x:v>45474</x:v>
      </x:c>
      <x:c r="N370" s="36" t="str">
        <x:f>IF(I370="","",DATE(YEAR(I370),MONTH(I370),1))</x:f>
      </x:c>
    </x:row>
    <x:row r="371">
      <x:c r="A371" s="16" t="str">
        <x:v>HG-01370</x:v>
      </x:c>
      <x:c r="B371" s="16" t="str">
        <x:v>Nazmul Alam</x:v>
      </x:c>
      <x:c r="C371" s="16" t="str">
        <x:v>Male</x:v>
      </x:c>
      <x:c r="D371" s="16" t="str">
        <x:v>Quality Assurance</x:v>
      </x:c>
      <x:c r="E371" s="16" t="str">
        <x:v>Compliance Executive</x:v>
      </x:c>
      <x:c r="F371" s="16" t="str">
        <x:v>Narayanganj Plant</x:v>
      </x:c>
      <x:c r="G371" s="16" t="str">
        <x:v>Permanent</x:v>
      </x:c>
      <x:c r="H371" s="35" t="n">
        <x:v>45626</x:v>
      </x:c>
      <x:c r="I371" s="35" t="n">
        <x:v>45747</x:v>
      </x:c>
      <x:c r="J371" s="16" t="str">
        <x:v>Better Opportunity</x:v>
      </x:c>
      <x:c r="K371" s="16" t="str">
        <x:f>IF(I371="","Active","Exited")</x:f>
        <x:v>Exited</x:v>
      </x:c>
      <x:c r="L371" s="16" t="n">
        <x:f>(YEAR(IF(I371="",TODAY(),I371))-YEAR(H371))*12+MONTH(IF(I371="",TODAY(),I371))-MONTH(H371)</x:f>
        <x:v>4</x:v>
      </x:c>
      <x:c r="M371" s="36" t="n">
        <x:f>DATE(YEAR(H371),MONTH(H371),1)</x:f>
        <x:v>45597</x:v>
      </x:c>
      <x:c r="N371" s="36" t="n">
        <x:f>IF(I371="","",DATE(YEAR(I371),MONTH(I371),1))</x:f>
        <x:v>45717</x:v>
      </x:c>
    </x:row>
    <x:row r="372">
      <x:c r="A372" s="16" t="str">
        <x:v>HG-01371</x:v>
      </x:c>
      <x:c r="B372" s="16" t="str">
        <x:v>Nayeem Uddin</x:v>
      </x:c>
      <x:c r="C372" s="16" t="str">
        <x:v>Male</x:v>
      </x:c>
      <x:c r="D372" s="16" t="str">
        <x:v>Administration</x:v>
      </x:c>
      <x:c r="E372" s="16" t="str">
        <x:v>Admin Executive</x:v>
      </x:c>
      <x:c r="F372" s="16" t="str">
        <x:v>Dhaka Head Office</x:v>
      </x:c>
      <x:c r="G372" s="16" t="str">
        <x:v>Permanent</x:v>
      </x:c>
      <x:c r="H372" s="35" t="n">
        <x:v>43853</x:v>
      </x:c>
      <x:c r="I372" s="35"/>
      <x:c r="J372" s="16" t="str"/>
      <x:c r="K372" s="16" t="str">
        <x:f>IF(I372="","Active","Exited")</x:f>
        <x:v>Active</x:v>
      </x:c>
      <x:c r="L372" s="16" t="n">
        <x:f>(YEAR(IF(I372="",TODAY(),I372))-YEAR(H372))*12+MONTH(IF(I372="",TODAY(),I372))-MONTH(H372)</x:f>
        <x:v>78</x:v>
      </x:c>
      <x:c r="M372" s="36" t="n">
        <x:f>DATE(YEAR(H372),MONTH(H372),1)</x:f>
        <x:v>43831</x:v>
      </x:c>
      <x:c r="N372" s="36" t="str">
        <x:f>IF(I372="","",DATE(YEAR(I372),MONTH(I372),1))</x:f>
      </x:c>
    </x:row>
    <x:row r="373">
      <x:c r="A373" s="16" t="str">
        <x:v>HG-01372</x:v>
      </x:c>
      <x:c r="B373" s="16" t="str">
        <x:v>Farhan Ahmed</x:v>
      </x:c>
      <x:c r="C373" s="16" t="str">
        <x:v>Male</x:v>
      </x:c>
      <x:c r="D373" s="16" t="str">
        <x:v>Human Resources</x:v>
      </x:c>
      <x:c r="E373" s="16" t="str">
        <x:v>Assistant Manager - HR</x:v>
      </x:c>
      <x:c r="F373" s="16" t="str">
        <x:v>Narayanganj Plant</x:v>
      </x:c>
      <x:c r="G373" s="16" t="str">
        <x:v>Probation</x:v>
      </x:c>
      <x:c r="H373" s="35" t="n">
        <x:v>44570</x:v>
      </x:c>
      <x:c r="I373" s="35" t="n">
        <x:v>45912</x:v>
      </x:c>
      <x:c r="J373" s="16" t="str">
        <x:v>Compensation &amp; Benefits</x:v>
      </x:c>
      <x:c r="K373" s="16" t="str">
        <x:f>IF(I373="","Active","Exited")</x:f>
        <x:v>Exited</x:v>
      </x:c>
      <x:c r="L373" s="16" t="n">
        <x:f>(YEAR(IF(I373="",TODAY(),I373))-YEAR(H373))*12+MONTH(IF(I373="",TODAY(),I373))-MONTH(H373)</x:f>
        <x:v>44</x:v>
      </x:c>
      <x:c r="M373" s="36" t="n">
        <x:f>DATE(YEAR(H373),MONTH(H373),1)</x:f>
        <x:v>44562</x:v>
      </x:c>
      <x:c r="N373" s="36" t="n">
        <x:f>IF(I373="","",DATE(YEAR(I373),MONTH(I373),1))</x:f>
        <x:v>45901</x:v>
      </x:c>
    </x:row>
    <x:row r="374">
      <x:c r="A374" s="16" t="str">
        <x:v>HG-01373</x:v>
      </x:c>
      <x:c r="B374" s="16" t="str">
        <x:v>Asif Hossain</x:v>
      </x:c>
      <x:c r="C374" s="16" t="str">
        <x:v>Male</x:v>
      </x:c>
      <x:c r="D374" s="16" t="str">
        <x:v>Supply Chain</x:v>
      </x:c>
      <x:c r="E374" s="16" t="str">
        <x:v>Assistant Manager - Supply Chain</x:v>
      </x:c>
      <x:c r="F374" s="16" t="str">
        <x:v>Gazipur Plant</x:v>
      </x:c>
      <x:c r="G374" s="16" t="str">
        <x:v>Permanent</x:v>
      </x:c>
      <x:c r="H374" s="35" t="n">
        <x:v>44356</x:v>
      </x:c>
      <x:c r="I374" s="35" t="n">
        <x:v>45812</x:v>
      </x:c>
      <x:c r="J374" s="16" t="str">
        <x:v>End of Contract</x:v>
      </x:c>
      <x:c r="K374" s="16" t="str">
        <x:f>IF(I374="","Active","Exited")</x:f>
        <x:v>Exited</x:v>
      </x:c>
      <x:c r="L374" s="16" t="n">
        <x:f>(YEAR(IF(I374="",TODAY(),I374))-YEAR(H374))*12+MONTH(IF(I374="",TODAY(),I374))-MONTH(H374)</x:f>
        <x:v>48</x:v>
      </x:c>
      <x:c r="M374" s="36" t="n">
        <x:f>DATE(YEAR(H374),MONTH(H374),1)</x:f>
        <x:v>44348</x:v>
      </x:c>
      <x:c r="N374" s="36" t="n">
        <x:f>IF(I374="","",DATE(YEAR(I374),MONTH(I374),1))</x:f>
        <x:v>45809</x:v>
      </x:c>
    </x:row>
    <x:row r="375">
      <x:c r="A375" s="16" t="str">
        <x:v>HG-01374</x:v>
      </x:c>
      <x:c r="B375" s="16" t="str">
        <x:v>Sabbir Karim</x:v>
      </x:c>
      <x:c r="C375" s="16" t="str">
        <x:v>Male</x:v>
      </x:c>
      <x:c r="D375" s="16" t="str">
        <x:v>Production</x:v>
      </x:c>
      <x:c r="E375" s="16" t="str">
        <x:v>Senior Operator</x:v>
      </x:c>
      <x:c r="F375" s="16" t="str">
        <x:v>Gazipur Plant</x:v>
      </x:c>
      <x:c r="G375" s="16" t="str">
        <x:v>Contract</x:v>
      </x:c>
      <x:c r="H375" s="35" t="n">
        <x:v>44471</x:v>
      </x:c>
      <x:c r="I375" s="35"/>
      <x:c r="J375" s="16" t="str"/>
      <x:c r="K375" s="16" t="str">
        <x:f>IF(I375="","Active","Exited")</x:f>
        <x:v>Active</x:v>
      </x:c>
      <x:c r="L375" s="16" t="n">
        <x:f>(YEAR(IF(I375="",TODAY(),I375))-YEAR(H375))*12+MONTH(IF(I375="",TODAY(),I375))-MONTH(H375)</x:f>
        <x:v>57</x:v>
      </x:c>
      <x:c r="M375" s="36" t="n">
        <x:f>DATE(YEAR(H375),MONTH(H375),1)</x:f>
        <x:v>44470</x:v>
      </x:c>
      <x:c r="N375" s="36" t="str">
        <x:f>IF(I375="","",DATE(YEAR(I375),MONTH(I375),1))</x:f>
      </x:c>
    </x:row>
    <x:row r="376">
      <x:c r="A376" s="16" t="str">
        <x:v>HG-01375</x:v>
      </x:c>
      <x:c r="B376" s="16" t="str">
        <x:v>Mahmud Rahman</x:v>
      </x:c>
      <x:c r="C376" s="16" t="str">
        <x:v>Male</x:v>
      </x:c>
      <x:c r="D376" s="16" t="str">
        <x:v>Sales &amp; Marketing</x:v>
      </x:c>
      <x:c r="E376" s="16" t="str">
        <x:v>Territory Officer</x:v>
      </x:c>
      <x:c r="F376" s="16" t="str">
        <x:v>Dhaka Head Office</x:v>
      </x:c>
      <x:c r="G376" s="16" t="str">
        <x:v>Permanent</x:v>
      </x:c>
      <x:c r="H376" s="35" t="n">
        <x:v>44304</x:v>
      </x:c>
      <x:c r="I376" s="35" t="n">
        <x:v>45782</x:v>
      </x:c>
      <x:c r="J376" s="16" t="str">
        <x:v>Career Growth</x:v>
      </x:c>
      <x:c r="K376" s="16" t="str">
        <x:f>IF(I376="","Active","Exited")</x:f>
        <x:v>Exited</x:v>
      </x:c>
      <x:c r="L376" s="16" t="n">
        <x:f>(YEAR(IF(I376="",TODAY(),I376))-YEAR(H376))*12+MONTH(IF(I376="",TODAY(),I376))-MONTH(H376)</x:f>
        <x:v>49</x:v>
      </x:c>
      <x:c r="M376" s="36" t="n">
        <x:f>DATE(YEAR(H376),MONTH(H376),1)</x:f>
        <x:v>44287</x:v>
      </x:c>
      <x:c r="N376" s="36" t="n">
        <x:f>IF(I376="","",DATE(YEAR(I376),MONTH(I376),1))</x:f>
        <x:v>45778</x:v>
      </x:c>
    </x:row>
    <x:row r="377">
      <x:c r="A377" s="16" t="str">
        <x:v>HG-01376</x:v>
      </x:c>
      <x:c r="B377" s="16" t="str">
        <x:v>Mehedi Sarker</x:v>
      </x:c>
      <x:c r="C377" s="16" t="str">
        <x:v>Male</x:v>
      </x:c>
      <x:c r="D377" s="16" t="str">
        <x:v>Production</x:v>
      </x:c>
      <x:c r="E377" s="16" t="str">
        <x:v>Assistant Manager - Production</x:v>
      </x:c>
      <x:c r="F377" s="16" t="str">
        <x:v>Narayanganj Plant</x:v>
      </x:c>
      <x:c r="G377" s="16" t="str">
        <x:v>Permanent</x:v>
      </x:c>
      <x:c r="H377" s="35" t="n">
        <x:v>45465</x:v>
      </x:c>
      <x:c r="I377" s="35"/>
      <x:c r="J377" s="16" t="str"/>
      <x:c r="K377" s="16" t="str">
        <x:f>IF(I377="","Active","Exited")</x:f>
        <x:v>Active</x:v>
      </x:c>
      <x:c r="L377" s="16" t="n">
        <x:f>(YEAR(IF(I377="",TODAY(),I377))-YEAR(H377))*12+MONTH(IF(I377="",TODAY(),I377))-MONTH(H377)</x:f>
        <x:v>25</x:v>
      </x:c>
      <x:c r="M377" s="36" t="n">
        <x:f>DATE(YEAR(H377),MONTH(H377),1)</x:f>
        <x:v>45444</x:v>
      </x:c>
      <x:c r="N377" s="36" t="str">
        <x:f>IF(I377="","",DATE(YEAR(I377),MONTH(I377),1))</x:f>
      </x:c>
    </x:row>
    <x:row r="378">
      <x:c r="A378" s="16" t="str">
        <x:v>HG-01377</x:v>
      </x:c>
      <x:c r="B378" s="16" t="str">
        <x:v>Foysal Kabir</x:v>
      </x:c>
      <x:c r="C378" s="16" t="str">
        <x:v>Male</x:v>
      </x:c>
      <x:c r="D378" s="16" t="str">
        <x:v>Production</x:v>
      </x:c>
      <x:c r="E378" s="16" t="str">
        <x:v>Production Officer</x:v>
      </x:c>
      <x:c r="F378" s="16" t="str">
        <x:v>Narayanganj Plant</x:v>
      </x:c>
      <x:c r="G378" s="16" t="str">
        <x:v>Permanent</x:v>
      </x:c>
      <x:c r="H378" s="35" t="n">
        <x:v>43937</x:v>
      </x:c>
      <x:c r="I378" s="35" t="n">
        <x:v>46159</x:v>
      </x:c>
      <x:c r="J378" s="16" t="str">
        <x:v>Performance</x:v>
      </x:c>
      <x:c r="K378" s="16" t="str">
        <x:f>IF(I378="","Active","Exited")</x:f>
        <x:v>Exited</x:v>
      </x:c>
      <x:c r="L378" s="16" t="n">
        <x:f>(YEAR(IF(I378="",TODAY(),I378))-YEAR(H378))*12+MONTH(IF(I378="",TODAY(),I378))-MONTH(H378)</x:f>
        <x:v>73</x:v>
      </x:c>
      <x:c r="M378" s="36" t="n">
        <x:f>DATE(YEAR(H378),MONTH(H378),1)</x:f>
        <x:v>43922</x:v>
      </x:c>
      <x:c r="N378" s="36" t="n">
        <x:f>IF(I378="","",DATE(YEAR(I378),MONTH(I378),1))</x:f>
        <x:v>46143</x:v>
      </x:c>
    </x:row>
    <x:row r="379">
      <x:c r="A379" s="16" t="str">
        <x:v>HG-01378</x:v>
      </x:c>
      <x:c r="B379" s="16" t="str">
        <x:v>Farzana Karim</x:v>
      </x:c>
      <x:c r="C379" s="16" t="str">
        <x:v>Female</x:v>
      </x:c>
      <x:c r="D379" s="16" t="str">
        <x:v>Human Resources</x:v>
      </x:c>
      <x:c r="E379" s="16" t="str">
        <x:v>Assistant Manager - HR</x:v>
      </x:c>
      <x:c r="F379" s="16" t="str">
        <x:v>Chattogram Office</x:v>
      </x:c>
      <x:c r="G379" s="16" t="str">
        <x:v>Contract</x:v>
      </x:c>
      <x:c r="H379" s="35" t="n">
        <x:v>43741</x:v>
      </x:c>
      <x:c r="I379" s="35"/>
      <x:c r="J379" s="16" t="str"/>
      <x:c r="K379" s="16" t="str">
        <x:f>IF(I379="","Active","Exited")</x:f>
        <x:v>Active</x:v>
      </x:c>
      <x:c r="L379" s="16" t="n">
        <x:f>(YEAR(IF(I379="",TODAY(),I379))-YEAR(H379))*12+MONTH(IF(I379="",TODAY(),I379))-MONTH(H379)</x:f>
        <x:v>81</x:v>
      </x:c>
      <x:c r="M379" s="36" t="n">
        <x:f>DATE(YEAR(H379),MONTH(H379),1)</x:f>
        <x:v>43739</x:v>
      </x:c>
      <x:c r="N379" s="36" t="str">
        <x:f>IF(I379="","",DATE(YEAR(I379),MONTH(I379),1))</x:f>
      </x:c>
    </x:row>
    <x:row r="380">
      <x:c r="A380" s="16" t="str">
        <x:v>HG-01379</x:v>
      </x:c>
      <x:c r="B380" s="16" t="str">
        <x:v>Mehedi Sarker</x:v>
      </x:c>
      <x:c r="C380" s="16" t="str">
        <x:v>Male</x:v>
      </x:c>
      <x:c r="D380" s="16" t="str">
        <x:v>Administration</x:v>
      </x:c>
      <x:c r="E380" s="16" t="str">
        <x:v>Admin Executive</x:v>
      </x:c>
      <x:c r="F380" s="16" t="str">
        <x:v>Dhaka Head Office</x:v>
      </x:c>
      <x:c r="G380" s="16" t="str">
        <x:v>Permanent</x:v>
      </x:c>
      <x:c r="H380" s="35" t="n">
        <x:v>43416</x:v>
      </x:c>
      <x:c r="I380" s="35"/>
      <x:c r="J380" s="16" t="str"/>
      <x:c r="K380" s="16" t="str">
        <x:f>IF(I380="","Active","Exited")</x:f>
        <x:v>Active</x:v>
      </x:c>
      <x:c r="L380" s="16" t="n">
        <x:f>(YEAR(IF(I380="",TODAY(),I380))-YEAR(H380))*12+MONTH(IF(I380="",TODAY(),I380))-MONTH(H380)</x:f>
        <x:v>92</x:v>
      </x:c>
      <x:c r="M380" s="36" t="n">
        <x:f>DATE(YEAR(H380),MONTH(H380),1)</x:f>
        <x:v>43405</x:v>
      </x:c>
      <x:c r="N380" s="36" t="str">
        <x:f>IF(I380="","",DATE(YEAR(I380),MONTH(I380),1))</x:f>
      </x:c>
    </x:row>
    <x:row r="381">
      <x:c r="A381" s="16" t="str">
        <x:v>HG-01380</x:v>
      </x:c>
      <x:c r="B381" s="16" t="str">
        <x:v>Arif Hasan</x:v>
      </x:c>
      <x:c r="C381" s="16" t="str">
        <x:v>Male</x:v>
      </x:c>
      <x:c r="D381" s="16" t="str">
        <x:v>Production</x:v>
      </x:c>
      <x:c r="E381" s="16" t="str">
        <x:v>Senior Operator</x:v>
      </x:c>
      <x:c r="F381" s="16" t="str">
        <x:v>Narayanganj Plant</x:v>
      </x:c>
      <x:c r="G381" s="16" t="str">
        <x:v>Permanent</x:v>
      </x:c>
      <x:c r="H381" s="35" t="n">
        <x:v>43278</x:v>
      </x:c>
      <x:c r="I381" s="35" t="n">
        <x:v>46095</x:v>
      </x:c>
      <x:c r="J381" s="16" t="str">
        <x:v>Relocation</x:v>
      </x:c>
      <x:c r="K381" s="16" t="str">
        <x:f>IF(I381="","Active","Exited")</x:f>
        <x:v>Exited</x:v>
      </x:c>
      <x:c r="L381" s="16" t="n">
        <x:f>(YEAR(IF(I381="",TODAY(),I381))-YEAR(H381))*12+MONTH(IF(I381="",TODAY(),I381))-MONTH(H381)</x:f>
        <x:v>93</x:v>
      </x:c>
      <x:c r="M381" s="36" t="n">
        <x:f>DATE(YEAR(H381),MONTH(H381),1)</x:f>
        <x:v>43252</x:v>
      </x:c>
      <x:c r="N381" s="36" t="n">
        <x:f>IF(I381="","",DATE(YEAR(I381),MONTH(I381),1))</x:f>
        <x:v>46082</x:v>
      </x:c>
    </x:row>
    <x:row r="382">
      <x:c r="A382" s="16" t="str">
        <x:v>HG-01381</x:v>
      </x:c>
      <x:c r="B382" s="16" t="str">
        <x:v>Rakib Alam</x:v>
      </x:c>
      <x:c r="C382" s="16" t="str">
        <x:v>Male</x:v>
      </x:c>
      <x:c r="D382" s="16" t="str">
        <x:v>Supply Chain</x:v>
      </x:c>
      <x:c r="E382" s="16" t="str">
        <x:v>Logistics Executive</x:v>
      </x:c>
      <x:c r="F382" s="16" t="str">
        <x:v>Gazipur Plant</x:v>
      </x:c>
      <x:c r="G382" s="16" t="str">
        <x:v>Permanent</x:v>
      </x:c>
      <x:c r="H382" s="35" t="n">
        <x:v>43065</x:v>
      </x:c>
      <x:c r="I382" s="35"/>
      <x:c r="J382" s="16" t="str"/>
      <x:c r="K382" s="16" t="str">
        <x:f>IF(I382="","Active","Exited")</x:f>
        <x:v>Active</x:v>
      </x:c>
      <x:c r="L382" s="16" t="n">
        <x:f>(YEAR(IF(I382="",TODAY(),I382))-YEAR(H382))*12+MONTH(IF(I382="",TODAY(),I382))-MONTH(H382)</x:f>
        <x:v>104</x:v>
      </x:c>
      <x:c r="M382" s="36" t="n">
        <x:f>DATE(YEAR(H382),MONTH(H382),1)</x:f>
        <x:v>43040</x:v>
      </x:c>
      <x:c r="N382" s="36" t="str">
        <x:f>IF(I382="","",DATE(YEAR(I382),MONTH(I382),1))</x:f>
      </x:c>
    </x:row>
    <x:row r="383">
      <x:c r="A383" s="16" t="str">
        <x:v>HG-01382</x:v>
      </x:c>
      <x:c r="B383" s="16" t="str">
        <x:v>Shakil Begum</x:v>
      </x:c>
      <x:c r="C383" s="16" t="str">
        <x:v>Male</x:v>
      </x:c>
      <x:c r="D383" s="16" t="str">
        <x:v>Sales &amp; Marketing</x:v>
      </x:c>
      <x:c r="E383" s="16" t="str">
        <x:v>Territory Officer</x:v>
      </x:c>
      <x:c r="F383" s="16" t="str">
        <x:v>Dhaka Head Office</x:v>
      </x:c>
      <x:c r="G383" s="16" t="str">
        <x:v>Permanent</x:v>
      </x:c>
      <x:c r="H383" s="35" t="n">
        <x:v>45231</x:v>
      </x:c>
      <x:c r="I383" s="35"/>
      <x:c r="J383" s="16" t="str"/>
      <x:c r="K383" s="16" t="str">
        <x:f>IF(I383="","Active","Exited")</x:f>
        <x:v>Active</x:v>
      </x:c>
      <x:c r="L383" s="16" t="n">
        <x:f>(YEAR(IF(I383="",TODAY(),I383))-YEAR(H383))*12+MONTH(IF(I383="",TODAY(),I383))-MONTH(H383)</x:f>
        <x:v>32</x:v>
      </x:c>
      <x:c r="M383" s="36" t="n">
        <x:f>DATE(YEAR(H383),MONTH(H383),1)</x:f>
        <x:v>45231</x:v>
      </x:c>
      <x:c r="N383" s="36" t="str">
        <x:f>IF(I383="","",DATE(YEAR(I383),MONTH(I383),1))</x:f>
      </x:c>
    </x:row>
    <x:row r="384">
      <x:c r="A384" s="16" t="str">
        <x:v>HG-01383</x:v>
      </x:c>
      <x:c r="B384" s="16" t="str">
        <x:v>Sharmin Khan</x:v>
      </x:c>
      <x:c r="C384" s="16" t="str">
        <x:v>Female</x:v>
      </x:c>
      <x:c r="D384" s="16" t="str">
        <x:v>Sales &amp; Marketing</x:v>
      </x:c>
      <x:c r="E384" s="16" t="str">
        <x:v>Marketing Officer</x:v>
      </x:c>
      <x:c r="F384" s="16" t="str">
        <x:v>Dhaka Head Office</x:v>
      </x:c>
      <x:c r="G384" s="16" t="str">
        <x:v>Permanent</x:v>
      </x:c>
      <x:c r="H384" s="35" t="n">
        <x:v>43052</x:v>
      </x:c>
      <x:c r="I384" s="35"/>
      <x:c r="J384" s="16" t="str"/>
      <x:c r="K384" s="16" t="str">
        <x:f>IF(I384="","Active","Exited")</x:f>
        <x:v>Active</x:v>
      </x:c>
      <x:c r="L384" s="16" t="n">
        <x:f>(YEAR(IF(I384="",TODAY(),I384))-YEAR(H384))*12+MONTH(IF(I384="",TODAY(),I384))-MONTH(H384)</x:f>
        <x:v>104</x:v>
      </x:c>
      <x:c r="M384" s="36" t="n">
        <x:f>DATE(YEAR(H384),MONTH(H384),1)</x:f>
        <x:v>43040</x:v>
      </x:c>
      <x:c r="N384" s="36" t="str">
        <x:f>IF(I384="","",DATE(YEAR(I384),MONTH(I384),1))</x:f>
      </x:c>
    </x:row>
    <x:row r="385">
      <x:c r="A385" s="16" t="str">
        <x:v>HG-01384</x:v>
      </x:c>
      <x:c r="B385" s="16" t="str">
        <x:v>Rakib Kabir</x:v>
      </x:c>
      <x:c r="C385" s="16" t="str">
        <x:v>Male</x:v>
      </x:c>
      <x:c r="D385" s="16" t="str">
        <x:v>Supply Chain</x:v>
      </x:c>
      <x:c r="E385" s="16" t="str">
        <x:v>Assistant Manager - Supply Chain</x:v>
      </x:c>
      <x:c r="F385" s="16" t="str">
        <x:v>Narayanganj Plant</x:v>
      </x:c>
      <x:c r="G385" s="16" t="str">
        <x:v>Permanent</x:v>
      </x:c>
      <x:c r="H385" s="35" t="n">
        <x:v>44188</x:v>
      </x:c>
      <x:c r="I385" s="35" t="n">
        <x:v>45939</x:v>
      </x:c>
      <x:c r="J385" s="16" t="str">
        <x:v>Performance</x:v>
      </x:c>
      <x:c r="K385" s="16" t="str">
        <x:f>IF(I385="","Active","Exited")</x:f>
        <x:v>Exited</x:v>
      </x:c>
      <x:c r="L385" s="16" t="n">
        <x:f>(YEAR(IF(I385="",TODAY(),I385))-YEAR(H385))*12+MONTH(IF(I385="",TODAY(),I385))-MONTH(H385)</x:f>
        <x:v>58</x:v>
      </x:c>
      <x:c r="M385" s="36" t="n">
        <x:f>DATE(YEAR(H385),MONTH(H385),1)</x:f>
        <x:v>44166</x:v>
      </x:c>
      <x:c r="N385" s="36" t="n">
        <x:f>IF(I385="","",DATE(YEAR(I385),MONTH(I385),1))</x:f>
        <x:v>45931</x:v>
      </x:c>
    </x:row>
    <x:row r="386">
      <x:c r="A386" s="16" t="str">
        <x:v>HG-01385</x:v>
      </x:c>
      <x:c r="B386" s="16" t="str">
        <x:v>Arif Khan</x:v>
      </x:c>
      <x:c r="C386" s="16" t="str">
        <x:v>Male</x:v>
      </x:c>
      <x:c r="D386" s="16" t="str">
        <x:v>Information Technology</x:v>
      </x:c>
      <x:c r="E386" s="16" t="str">
        <x:v>IT Support Executive</x:v>
      </x:c>
      <x:c r="F386" s="16" t="str">
        <x:v>Gazipur Plant</x:v>
      </x:c>
      <x:c r="G386" s="16" t="str">
        <x:v>Permanent</x:v>
      </x:c>
      <x:c r="H386" s="35" t="n">
        <x:v>44595</x:v>
      </x:c>
      <x:c r="I386" s="35"/>
      <x:c r="J386" s="16" t="str"/>
      <x:c r="K386" s="16" t="str">
        <x:f>IF(I386="","Active","Exited")</x:f>
        <x:v>Active</x:v>
      </x:c>
      <x:c r="L386" s="16" t="n">
        <x:f>(YEAR(IF(I386="",TODAY(),I386))-YEAR(H386))*12+MONTH(IF(I386="",TODAY(),I386))-MONTH(H386)</x:f>
        <x:v>53</x:v>
      </x:c>
      <x:c r="M386" s="36" t="n">
        <x:f>DATE(YEAR(H386),MONTH(H386),1)</x:f>
        <x:v>44593</x:v>
      </x:c>
      <x:c r="N386" s="36" t="str">
        <x:f>IF(I386="","",DATE(YEAR(I386),MONTH(I386),1))</x:f>
      </x:c>
    </x:row>
    <x:row r="387">
      <x:c r="A387" s="16" t="str">
        <x:v>HG-01386</x:v>
      </x:c>
      <x:c r="B387" s="16" t="str">
        <x:v>Tanvir Ahmed</x:v>
      </x:c>
      <x:c r="C387" s="16" t="str">
        <x:v>Male</x:v>
      </x:c>
      <x:c r="D387" s="16" t="str">
        <x:v>Finance &amp; Accounts</x:v>
      </x:c>
      <x:c r="E387" s="16" t="str">
        <x:v>Senior Accounts Executive</x:v>
      </x:c>
      <x:c r="F387" s="16" t="str">
        <x:v>Chattogram Office</x:v>
      </x:c>
      <x:c r="G387" s="16" t="str">
        <x:v>Permanent</x:v>
      </x:c>
      <x:c r="H387" s="35" t="n">
        <x:v>44884</x:v>
      </x:c>
      <x:c r="I387" s="35"/>
      <x:c r="J387" s="16" t="str"/>
      <x:c r="K387" s="16" t="str">
        <x:f>IF(I387="","Active","Exited")</x:f>
        <x:v>Active</x:v>
      </x:c>
      <x:c r="L387" s="16" t="n">
        <x:f>(YEAR(IF(I387="",TODAY(),I387))-YEAR(H387))*12+MONTH(IF(I387="",TODAY(),I387))-MONTH(H387)</x:f>
        <x:v>44</x:v>
      </x:c>
      <x:c r="M387" s="36" t="n">
        <x:f>DATE(YEAR(H387),MONTH(H387),1)</x:f>
        <x:v>44866</x:v>
      </x:c>
      <x:c r="N387" s="36" t="str">
        <x:f>IF(I387="","",DATE(YEAR(I387),MONTH(I387),1))</x:f>
      </x:c>
    </x:row>
    <x:row r="388">
      <x:c r="A388" s="16" t="str">
        <x:v>HG-01387</x:v>
      </x:c>
      <x:c r="B388" s="16" t="str">
        <x:v>Hasan Hossain</x:v>
      </x:c>
      <x:c r="C388" s="16" t="str">
        <x:v>Male</x:v>
      </x:c>
      <x:c r="D388" s="16" t="str">
        <x:v>Production</x:v>
      </x:c>
      <x:c r="E388" s="16" t="str">
        <x:v>Assistant Manager - Production</x:v>
      </x:c>
      <x:c r="F388" s="16" t="str">
        <x:v>Chattogram Office</x:v>
      </x:c>
      <x:c r="G388" s="16" t="str">
        <x:v>Permanent</x:v>
      </x:c>
      <x:c r="H388" s="35" t="n">
        <x:v>44692</x:v>
      </x:c>
      <x:c r="I388" s="35"/>
      <x:c r="J388" s="16" t="str"/>
      <x:c r="K388" s="16" t="str">
        <x:f>IF(I388="","Active","Exited")</x:f>
        <x:v>Active</x:v>
      </x:c>
      <x:c r="L388" s="16" t="n">
        <x:f>(YEAR(IF(I388="",TODAY(),I388))-YEAR(H388))*12+MONTH(IF(I388="",TODAY(),I388))-MONTH(H388)</x:f>
        <x:v>50</x:v>
      </x:c>
      <x:c r="M388" s="36" t="n">
        <x:f>DATE(YEAR(H388),MONTH(H388),1)</x:f>
        <x:v>44682</x:v>
      </x:c>
      <x:c r="N388" s="36" t="str">
        <x:f>IF(I388="","",DATE(YEAR(I388),MONTH(I388),1))</x:f>
      </x:c>
    </x:row>
    <x:row r="389">
      <x:c r="A389" s="16" t="str">
        <x:v>HG-01388</x:v>
      </x:c>
      <x:c r="B389" s="16" t="str">
        <x:v>Rakib Hossain</x:v>
      </x:c>
      <x:c r="C389" s="16" t="str">
        <x:v>Male</x:v>
      </x:c>
      <x:c r="D389" s="16" t="str">
        <x:v>Production</x:v>
      </x:c>
      <x:c r="E389" s="16" t="str">
        <x:v>Assistant Manager - Production</x:v>
      </x:c>
      <x:c r="F389" s="16" t="str">
        <x:v>Gazipur Plant</x:v>
      </x:c>
      <x:c r="G389" s="16" t="str">
        <x:v>Permanent</x:v>
      </x:c>
      <x:c r="H389" s="35" t="n">
        <x:v>43330</x:v>
      </x:c>
      <x:c r="I389" s="35"/>
      <x:c r="J389" s="16" t="str"/>
      <x:c r="K389" s="16" t="str">
        <x:f>IF(I389="","Active","Exited")</x:f>
        <x:v>Active</x:v>
      </x:c>
      <x:c r="L389" s="16" t="n">
        <x:f>(YEAR(IF(I389="",TODAY(),I389))-YEAR(H389))*12+MONTH(IF(I389="",TODAY(),I389))-MONTH(H389)</x:f>
        <x:v>95</x:v>
      </x:c>
      <x:c r="M389" s="36" t="n">
        <x:f>DATE(YEAR(H389),MONTH(H389),1)</x:f>
        <x:v>43313</x:v>
      </x:c>
      <x:c r="N389" s="36" t="str">
        <x:f>IF(I389="","",DATE(YEAR(I389),MONTH(I389),1))</x:f>
      </x:c>
    </x:row>
    <x:row r="390">
      <x:c r="A390" s="16" t="str">
        <x:v>HG-01389</x:v>
      </x:c>
      <x:c r="B390" s="16" t="str">
        <x:v>Ayesha Rahman</x:v>
      </x:c>
      <x:c r="C390" s="16" t="str">
        <x:v>Female</x:v>
      </x:c>
      <x:c r="D390" s="16" t="str">
        <x:v>Human Resources</x:v>
      </x:c>
      <x:c r="E390" s="16" t="str">
        <x:v>HR Business Executive</x:v>
      </x:c>
      <x:c r="F390" s="16" t="str">
        <x:v>Narayanganj Plant</x:v>
      </x:c>
      <x:c r="G390" s="16" t="str">
        <x:v>Probation</x:v>
      </x:c>
      <x:c r="H390" s="35" t="n">
        <x:v>42802</x:v>
      </x:c>
      <x:c r="I390" s="35"/>
      <x:c r="J390" s="16" t="str"/>
      <x:c r="K390" s="16" t="str">
        <x:f>IF(I390="","Active","Exited")</x:f>
        <x:v>Active</x:v>
      </x:c>
      <x:c r="L390" s="16" t="n">
        <x:f>(YEAR(IF(I390="",TODAY(),I390))-YEAR(H390))*12+MONTH(IF(I390="",TODAY(),I390))-MONTH(H390)</x:f>
        <x:v>112</x:v>
      </x:c>
      <x:c r="M390" s="36" t="n">
        <x:f>DATE(YEAR(H390),MONTH(H390),1)</x:f>
        <x:v>42795</x:v>
      </x:c>
      <x:c r="N390" s="36" t="str">
        <x:f>IF(I390="","",DATE(YEAR(I390),MONTH(I390),1))</x:f>
      </x:c>
    </x:row>
    <x:row r="391">
      <x:c r="A391" s="16" t="str">
        <x:v>HG-01390</x:v>
      </x:c>
      <x:c r="B391" s="16" t="str">
        <x:v>Fahim Chowdhury</x:v>
      </x:c>
      <x:c r="C391" s="16" t="str">
        <x:v>Male</x:v>
      </x:c>
      <x:c r="D391" s="16" t="str">
        <x:v>Administration</x:v>
      </x:c>
      <x:c r="E391" s="16" t="str">
        <x:v>Facility Officer</x:v>
      </x:c>
      <x:c r="F391" s="16" t="str">
        <x:v>Dhaka Head Office</x:v>
      </x:c>
      <x:c r="G391" s="16" t="str">
        <x:v>Permanent</x:v>
      </x:c>
      <x:c r="H391" s="35" t="n">
        <x:v>43436</x:v>
      </x:c>
      <x:c r="I391" s="35"/>
      <x:c r="J391" s="16" t="str"/>
      <x:c r="K391" s="16" t="str">
        <x:f>IF(I391="","Active","Exited")</x:f>
        <x:v>Active</x:v>
      </x:c>
      <x:c r="L391" s="16" t="n">
        <x:f>(YEAR(IF(I391="",TODAY(),I391))-YEAR(H391))*12+MONTH(IF(I391="",TODAY(),I391))-MONTH(H391)</x:f>
        <x:v>91</x:v>
      </x:c>
      <x:c r="M391" s="36" t="n">
        <x:f>DATE(YEAR(H391),MONTH(H391),1)</x:f>
        <x:v>43435</x:v>
      </x:c>
      <x:c r="N391" s="36" t="str">
        <x:f>IF(I391="","",DATE(YEAR(I391),MONTH(I391),1))</x:f>
      </x:c>
    </x:row>
    <x:row r="392">
      <x:c r="A392" s="16" t="str">
        <x:v>HG-01391</x:v>
      </x:c>
      <x:c r="B392" s="16" t="str">
        <x:v>Foysal Begum</x:v>
      </x:c>
      <x:c r="C392" s="16" t="str">
        <x:v>Male</x:v>
      </x:c>
      <x:c r="D392" s="16" t="str">
        <x:v>Production</x:v>
      </x:c>
      <x:c r="E392" s="16" t="str">
        <x:v>Senior Operator</x:v>
      </x:c>
      <x:c r="F392" s="16" t="str">
        <x:v>Narayanganj Plant</x:v>
      </x:c>
      <x:c r="G392" s="16" t="str">
        <x:v>Permanent</x:v>
      </x:c>
      <x:c r="H392" s="35" t="n">
        <x:v>42989</x:v>
      </x:c>
      <x:c r="I392" s="35" t="n">
        <x:v>45965</x:v>
      </x:c>
      <x:c r="J392" s="16" t="str">
        <x:v>Supervisor / Management</x:v>
      </x:c>
      <x:c r="K392" s="16" t="str">
        <x:f>IF(I392="","Active","Exited")</x:f>
        <x:v>Exited</x:v>
      </x:c>
      <x:c r="L392" s="16" t="n">
        <x:f>(YEAR(IF(I392="",TODAY(),I392))-YEAR(H392))*12+MONTH(IF(I392="",TODAY(),I392))-MONTH(H392)</x:f>
        <x:v>98</x:v>
      </x:c>
      <x:c r="M392" s="36" t="n">
        <x:f>DATE(YEAR(H392),MONTH(H392),1)</x:f>
        <x:v>42979</x:v>
      </x:c>
      <x:c r="N392" s="36" t="n">
        <x:f>IF(I392="","",DATE(YEAR(I392),MONTH(I392),1))</x:f>
        <x:v>45962</x:v>
      </x:c>
    </x:row>
    <x:row r="393">
      <x:c r="A393" s="16" t="str">
        <x:v>HG-01392</x:v>
      </x:c>
      <x:c r="B393" s="16" t="str">
        <x:v>Foysal Begum</x:v>
      </x:c>
      <x:c r="C393" s="16" t="str">
        <x:v>Male</x:v>
      </x:c>
      <x:c r="D393" s="16" t="str">
        <x:v>Sales &amp; Marketing</x:v>
      </x:c>
      <x:c r="E393" s="16" t="str">
        <x:v>Key Account Executive</x:v>
      </x:c>
      <x:c r="F393" s="16" t="str">
        <x:v>Chattogram Office</x:v>
      </x:c>
      <x:c r="G393" s="16" t="str">
        <x:v>Permanent</x:v>
      </x:c>
      <x:c r="H393" s="35" t="n">
        <x:v>44161</x:v>
      </x:c>
      <x:c r="I393" s="35"/>
      <x:c r="J393" s="16" t="str"/>
      <x:c r="K393" s="16" t="str">
        <x:f>IF(I393="","Active","Exited")</x:f>
        <x:v>Active</x:v>
      </x:c>
      <x:c r="L393" s="16" t="n">
        <x:f>(YEAR(IF(I393="",TODAY(),I393))-YEAR(H393))*12+MONTH(IF(I393="",TODAY(),I393))-MONTH(H393)</x:f>
        <x:v>68</x:v>
      </x:c>
      <x:c r="M393" s="36" t="n">
        <x:f>DATE(YEAR(H393),MONTH(H393),1)</x:f>
        <x:v>44136</x:v>
      </x:c>
      <x:c r="N393" s="36" t="str">
        <x:f>IF(I393="","",DATE(YEAR(I393),MONTH(I393),1))</x:f>
      </x:c>
    </x:row>
    <x:row r="394">
      <x:c r="A394" s="16" t="str">
        <x:v>HG-01393</x:v>
      </x:c>
      <x:c r="B394" s="16" t="str">
        <x:v>Foysal Akter</x:v>
      </x:c>
      <x:c r="C394" s="16" t="str">
        <x:v>Male</x:v>
      </x:c>
      <x:c r="D394" s="16" t="str">
        <x:v>Quality Assurance</x:v>
      </x:c>
      <x:c r="E394" s="16" t="str">
        <x:v>QA Officer</x:v>
      </x:c>
      <x:c r="F394" s="16" t="str">
        <x:v>Gazipur Plant</x:v>
      </x:c>
      <x:c r="G394" s="16" t="str">
        <x:v>Permanent</x:v>
      </x:c>
      <x:c r="H394" s="35" t="n">
        <x:v>42761</x:v>
      </x:c>
      <x:c r="I394" s="35" t="n">
        <x:v>45661</x:v>
      </x:c>
      <x:c r="J394" s="16" t="str">
        <x:v>Work-Life Balance</x:v>
      </x:c>
      <x:c r="K394" s="16" t="str">
        <x:f>IF(I394="","Active","Exited")</x:f>
        <x:v>Exited</x:v>
      </x:c>
      <x:c r="L394" s="16" t="n">
        <x:f>(YEAR(IF(I394="",TODAY(),I394))-YEAR(H394))*12+MONTH(IF(I394="",TODAY(),I394))-MONTH(H394)</x:f>
        <x:v>96</x:v>
      </x:c>
      <x:c r="M394" s="36" t="n">
        <x:f>DATE(YEAR(H394),MONTH(H394),1)</x:f>
        <x:v>42736</x:v>
      </x:c>
      <x:c r="N394" s="36" t="n">
        <x:f>IF(I394="","",DATE(YEAR(I394),MONTH(I394),1))</x:f>
        <x:v>45658</x:v>
      </x:c>
    </x:row>
    <x:row r="395">
      <x:c r="A395" s="16" t="str">
        <x:v>HG-01394</x:v>
      </x:c>
      <x:c r="B395" s="16" t="str">
        <x:v>Rakib Sarker</x:v>
      </x:c>
      <x:c r="C395" s="16" t="str">
        <x:v>Male</x:v>
      </x:c>
      <x:c r="D395" s="16" t="str">
        <x:v>Human Resources</x:v>
      </x:c>
      <x:c r="E395" s="16" t="str">
        <x:v>HR Assistant</x:v>
      </x:c>
      <x:c r="F395" s="16" t="str">
        <x:v>Dhaka Head Office</x:v>
      </x:c>
      <x:c r="G395" s="16" t="str">
        <x:v>Permanent</x:v>
      </x:c>
      <x:c r="H395" s="35" t="n">
        <x:v>43847</x:v>
      </x:c>
      <x:c r="I395" s="35"/>
      <x:c r="J395" s="16" t="str"/>
      <x:c r="K395" s="16" t="str">
        <x:f>IF(I395="","Active","Exited")</x:f>
        <x:v>Active</x:v>
      </x:c>
      <x:c r="L395" s="16" t="n">
        <x:f>(YEAR(IF(I395="",TODAY(),I395))-YEAR(H395))*12+MONTH(IF(I395="",TODAY(),I395))-MONTH(H395)</x:f>
        <x:v>78</x:v>
      </x:c>
      <x:c r="M395" s="36" t="n">
        <x:f>DATE(YEAR(H395),MONTH(H395),1)</x:f>
        <x:v>43831</x:v>
      </x:c>
      <x:c r="N395" s="36" t="str">
        <x:f>IF(I395="","",DATE(YEAR(I395),MONTH(I395),1))</x:f>
      </x:c>
    </x:row>
    <x:row r="396">
      <x:c r="A396" s="16" t="str">
        <x:v>HG-01395</x:v>
      </x:c>
      <x:c r="B396" s="16" t="str">
        <x:v>Nayeem Uddin</x:v>
      </x:c>
      <x:c r="C396" s="16" t="str">
        <x:v>Male</x:v>
      </x:c>
      <x:c r="D396" s="16" t="str">
        <x:v>Finance &amp; Accounts</x:v>
      </x:c>
      <x:c r="E396" s="16" t="str">
        <x:v>Finance Officer</x:v>
      </x:c>
      <x:c r="F396" s="16" t="str">
        <x:v>Dhaka Head Office</x:v>
      </x:c>
      <x:c r="G396" s="16" t="str">
        <x:v>Permanent</x:v>
      </x:c>
      <x:c r="H396" s="35" t="n">
        <x:v>45301</x:v>
      </x:c>
      <x:c r="I396" s="35"/>
      <x:c r="J396" s="16" t="str"/>
      <x:c r="K396" s="16" t="str">
        <x:f>IF(I396="","Active","Exited")</x:f>
        <x:v>Active</x:v>
      </x:c>
      <x:c r="L396" s="16" t="n">
        <x:f>(YEAR(IF(I396="",TODAY(),I396))-YEAR(H396))*12+MONTH(IF(I396="",TODAY(),I396))-MONTH(H396)</x:f>
        <x:v>30</x:v>
      </x:c>
      <x:c r="M396" s="36" t="n">
        <x:f>DATE(YEAR(H396),MONTH(H396),1)</x:f>
        <x:v>45292</x:v>
      </x:c>
      <x:c r="N396" s="36" t="str">
        <x:f>IF(I396="","",DATE(YEAR(I396),MONTH(I396),1))</x:f>
      </x:c>
    </x:row>
    <x:row r="397">
      <x:c r="A397" s="16" t="str">
        <x:v>HG-01396</x:v>
      </x:c>
      <x:c r="B397" s="16" t="str">
        <x:v>Mizan Sarker</x:v>
      </x:c>
      <x:c r="C397" s="16" t="str">
        <x:v>Male</x:v>
      </x:c>
      <x:c r="D397" s="16" t="str">
        <x:v>Production</x:v>
      </x:c>
      <x:c r="E397" s="16" t="str">
        <x:v>Senior Operator</x:v>
      </x:c>
      <x:c r="F397" s="16" t="str">
        <x:v>Gazipur Plant</x:v>
      </x:c>
      <x:c r="G397" s="16" t="str">
        <x:v>Permanent</x:v>
      </x:c>
      <x:c r="H397" s="35" t="n">
        <x:v>43276</x:v>
      </x:c>
      <x:c r="I397" s="35"/>
      <x:c r="J397" s="16" t="str"/>
      <x:c r="K397" s="16" t="str">
        <x:f>IF(I397="","Active","Exited")</x:f>
        <x:v>Active</x:v>
      </x:c>
      <x:c r="L397" s="16" t="n">
        <x:f>(YEAR(IF(I397="",TODAY(),I397))-YEAR(H397))*12+MONTH(IF(I397="",TODAY(),I397))-MONTH(H397)</x:f>
        <x:v>97</x:v>
      </x:c>
      <x:c r="M397" s="36" t="n">
        <x:f>DATE(YEAR(H397),MONTH(H397),1)</x:f>
        <x:v>43252</x:v>
      </x:c>
      <x:c r="N397" s="36" t="str">
        <x:f>IF(I397="","",DATE(YEAR(I397),MONTH(I397),1))</x:f>
      </x:c>
    </x:row>
    <x:row r="398">
      <x:c r="A398" s="16" t="str">
        <x:v>HG-01397</x:v>
      </x:c>
      <x:c r="B398" s="16" t="str">
        <x:v>Jubayer Islam</x:v>
      </x:c>
      <x:c r="C398" s="16" t="str">
        <x:v>Male</x:v>
      </x:c>
      <x:c r="D398" s="16" t="str">
        <x:v>Quality Assurance</x:v>
      </x:c>
      <x:c r="E398" s="16" t="str">
        <x:v>Quality Inspector</x:v>
      </x:c>
      <x:c r="F398" s="16" t="str">
        <x:v>Gazipur Plant</x:v>
      </x:c>
      <x:c r="G398" s="16" t="str">
        <x:v>Permanent</x:v>
      </x:c>
      <x:c r="H398" s="35" t="n">
        <x:v>42778</x:v>
      </x:c>
      <x:c r="I398" s="35"/>
      <x:c r="J398" s="16" t="str"/>
      <x:c r="K398" s="16" t="str">
        <x:f>IF(I398="","Active","Exited")</x:f>
        <x:v>Active</x:v>
      </x:c>
      <x:c r="L398" s="16" t="n">
        <x:f>(YEAR(IF(I398="",TODAY(),I398))-YEAR(H398))*12+MONTH(IF(I398="",TODAY(),I398))-MONTH(H398)</x:f>
        <x:v>113</x:v>
      </x:c>
      <x:c r="M398" s="36" t="n">
        <x:f>DATE(YEAR(H398),MONTH(H398),1)</x:f>
        <x:v>42767</x:v>
      </x:c>
      <x:c r="N398" s="36" t="str">
        <x:f>IF(I398="","",DATE(YEAR(I398),MONTH(I398),1))</x:f>
      </x:c>
    </x:row>
    <x:row r="399">
      <x:c r="A399" s="16" t="str">
        <x:v>HG-01398</x:v>
      </x:c>
      <x:c r="B399" s="16" t="str">
        <x:v>Tanvir Hasan</x:v>
      </x:c>
      <x:c r="C399" s="16" t="str">
        <x:v>Male</x:v>
      </x:c>
      <x:c r="D399" s="16" t="str">
        <x:v>Production</x:v>
      </x:c>
      <x:c r="E399" s="16" t="str">
        <x:v>Assistant Manager - Production</x:v>
      </x:c>
      <x:c r="F399" s="16" t="str">
        <x:v>Chattogram Office</x:v>
      </x:c>
      <x:c r="G399" s="16" t="str">
        <x:v>Permanent</x:v>
      </x:c>
      <x:c r="H399" s="35" t="n">
        <x:v>42902</x:v>
      </x:c>
      <x:c r="I399" s="35" t="n">
        <x:v>46173</x:v>
      </x:c>
      <x:c r="J399" s="16" t="str">
        <x:v>Work-Life Balance</x:v>
      </x:c>
      <x:c r="K399" s="16" t="str">
        <x:f>IF(I399="","Active","Exited")</x:f>
        <x:v>Exited</x:v>
      </x:c>
      <x:c r="L399" s="16" t="n">
        <x:f>(YEAR(IF(I399="",TODAY(),I399))-YEAR(H399))*12+MONTH(IF(I399="",TODAY(),I399))-MONTH(H399)</x:f>
        <x:v>107</x:v>
      </x:c>
      <x:c r="M399" s="36" t="n">
        <x:f>DATE(YEAR(H399),MONTH(H399),1)</x:f>
        <x:v>42887</x:v>
      </x:c>
      <x:c r="N399" s="36" t="n">
        <x:f>IF(I399="","",DATE(YEAR(I399),MONTH(I399),1))</x:f>
        <x:v>46143</x:v>
      </x:c>
    </x:row>
    <x:row r="400">
      <x:c r="A400" s="16" t="str">
        <x:v>HG-01399</x:v>
      </x:c>
      <x:c r="B400" s="16" t="str">
        <x:v>Rumana Rahman</x:v>
      </x:c>
      <x:c r="C400" s="16" t="str">
        <x:v>Female</x:v>
      </x:c>
      <x:c r="D400" s="16" t="str">
        <x:v>Supply Chain</x:v>
      </x:c>
      <x:c r="E400" s="16" t="str">
        <x:v>Senior Supply Chain Executive</x:v>
      </x:c>
      <x:c r="F400" s="16" t="str">
        <x:v>Gazipur Plant</x:v>
      </x:c>
      <x:c r="G400" s="16" t="str">
        <x:v>Permanent</x:v>
      </x:c>
      <x:c r="H400" s="35" t="n">
        <x:v>43798</x:v>
      </x:c>
      <x:c r="I400" s="35"/>
      <x:c r="J400" s="16" t="str"/>
      <x:c r="K400" s="16" t="str">
        <x:f>IF(I400="","Active","Exited")</x:f>
        <x:v>Active</x:v>
      </x:c>
      <x:c r="L400" s="16" t="n">
        <x:f>(YEAR(IF(I400="",TODAY(),I400))-YEAR(H400))*12+MONTH(IF(I400="",TODAY(),I400))-MONTH(H400)</x:f>
        <x:v>80</x:v>
      </x:c>
      <x:c r="M400" s="36" t="n">
        <x:f>DATE(YEAR(H400),MONTH(H400),1)</x:f>
        <x:v>43770</x:v>
      </x:c>
      <x:c r="N400" s="36" t="str">
        <x:f>IF(I400="","",DATE(YEAR(I400),MONTH(I400),1))</x:f>
      </x:c>
    </x:row>
    <x:row r="401">
      <x:c r="A401" s="16" t="str">
        <x:v>HG-01400</x:v>
      </x:c>
      <x:c r="B401" s="16" t="str">
        <x:v>Rumana Chowdhury</x:v>
      </x:c>
      <x:c r="C401" s="16" t="str">
        <x:v>Female</x:v>
      </x:c>
      <x:c r="D401" s="16" t="str">
        <x:v>Production</x:v>
      </x:c>
      <x:c r="E401" s="16" t="str">
        <x:v>Line Supervisor</x:v>
      </x:c>
      <x:c r="F401" s="16" t="str">
        <x:v>Gazipur Plant</x:v>
      </x:c>
      <x:c r="G401" s="16" t="str">
        <x:v>Permanent</x:v>
      </x:c>
      <x:c r="H401" s="35" t="n">
        <x:v>44646</x:v>
      </x:c>
      <x:c r="I401" s="35"/>
      <x:c r="J401" s="16" t="str"/>
      <x:c r="K401" s="16" t="str">
        <x:f>IF(I401="","Active","Exited")</x:f>
        <x:v>Active</x:v>
      </x:c>
      <x:c r="L401" s="16" t="n">
        <x:f>(YEAR(IF(I401="",TODAY(),I401))-YEAR(H401))*12+MONTH(IF(I401="",TODAY(),I401))-MONTH(H401)</x:f>
        <x:v>52</x:v>
      </x:c>
      <x:c r="M401" s="36" t="n">
        <x:f>DATE(YEAR(H401),MONTH(H401),1)</x:f>
        <x:v>44621</x:v>
      </x:c>
      <x:c r="N401" s="36" t="str">
        <x:f>IF(I401="","",DATE(YEAR(I401),MONTH(I401),1))</x:f>
      </x:c>
    </x:row>
    <x:row r="402">
      <x:c r="A402" s="16" t="str">
        <x:v>HG-01401</x:v>
      </x:c>
      <x:c r="B402" s="16" t="str">
        <x:v>Nayeem Hossain</x:v>
      </x:c>
      <x:c r="C402" s="16" t="str">
        <x:v>Male</x:v>
      </x:c>
      <x:c r="D402" s="16" t="str">
        <x:v>Administration</x:v>
      </x:c>
      <x:c r="E402" s="16" t="str">
        <x:v>Facility Officer</x:v>
      </x:c>
      <x:c r="F402" s="16" t="str">
        <x:v>Dhaka Head Office</x:v>
      </x:c>
      <x:c r="G402" s="16" t="str">
        <x:v>Permanent</x:v>
      </x:c>
      <x:c r="H402" s="35" t="n">
        <x:v>43233</x:v>
      </x:c>
      <x:c r="I402" s="35"/>
      <x:c r="J402" s="16" t="str"/>
      <x:c r="K402" s="16" t="str">
        <x:f>IF(I402="","Active","Exited")</x:f>
        <x:v>Active</x:v>
      </x:c>
      <x:c r="L402" s="16" t="n">
        <x:f>(YEAR(IF(I402="",TODAY(),I402))-YEAR(H402))*12+MONTH(IF(I402="",TODAY(),I402))-MONTH(H402)</x:f>
        <x:v>98</x:v>
      </x:c>
      <x:c r="M402" s="36" t="n">
        <x:f>DATE(YEAR(H402),MONTH(H402),1)</x:f>
        <x:v>43221</x:v>
      </x:c>
      <x:c r="N402" s="36" t="str">
        <x:f>IF(I402="","",DATE(YEAR(I402),MONTH(I402),1))</x:f>
      </x:c>
    </x:row>
    <x:row r="403">
      <x:c r="A403" s="16" t="str">
        <x:v>HG-01402</x:v>
      </x:c>
      <x:c r="B403" s="16" t="str">
        <x:v>Rafi Miah</x:v>
      </x:c>
      <x:c r="C403" s="16" t="str">
        <x:v>Male</x:v>
      </x:c>
      <x:c r="D403" s="16" t="str">
        <x:v>Human Resources</x:v>
      </x:c>
      <x:c r="E403" s="16" t="str">
        <x:v>HR Assistant</x:v>
      </x:c>
      <x:c r="F403" s="16" t="str">
        <x:v>Dhaka Head Office</x:v>
      </x:c>
      <x:c r="G403" s="16" t="str">
        <x:v>Contract</x:v>
      </x:c>
      <x:c r="H403" s="35" t="n">
        <x:v>44568</x:v>
      </x:c>
      <x:c r="I403" s="35"/>
      <x:c r="J403" s="16" t="str"/>
      <x:c r="K403" s="16" t="str">
        <x:f>IF(I403="","Active","Exited")</x:f>
        <x:v>Active</x:v>
      </x:c>
      <x:c r="L403" s="16" t="n">
        <x:f>(YEAR(IF(I403="",TODAY(),I403))-YEAR(H403))*12+MONTH(IF(I403="",TODAY(),I403))-MONTH(H403)</x:f>
        <x:v>54</x:v>
      </x:c>
      <x:c r="M403" s="36" t="n">
        <x:f>DATE(YEAR(H403),MONTH(H403),1)</x:f>
        <x:v>44562</x:v>
      </x:c>
      <x:c r="N403" s="36" t="str">
        <x:f>IF(I403="","",DATE(YEAR(I403),MONTH(I403),1))</x:f>
      </x:c>
    </x:row>
    <x:row r="404">
      <x:c r="A404" s="16" t="str">
        <x:v>HG-01403</x:v>
      </x:c>
      <x:c r="B404" s="16" t="str">
        <x:v>Sumaiya Sarker</x:v>
      </x:c>
      <x:c r="C404" s="16" t="str">
        <x:v>Female</x:v>
      </x:c>
      <x:c r="D404" s="16" t="str">
        <x:v>Quality Assurance</x:v>
      </x:c>
      <x:c r="E404" s="16" t="str">
        <x:v>Senior QA Executive</x:v>
      </x:c>
      <x:c r="F404" s="16" t="str">
        <x:v>Gazipur Plant</x:v>
      </x:c>
      <x:c r="G404" s="16" t="str">
        <x:v>Permanent</x:v>
      </x:c>
      <x:c r="H404" s="35" t="n">
        <x:v>43017</x:v>
      </x:c>
      <x:c r="I404" s="35" t="n">
        <x:v>45712</x:v>
      </x:c>
      <x:c r="J404" s="16" t="str">
        <x:v>End of Contract</x:v>
      </x:c>
      <x:c r="K404" s="16" t="str">
        <x:f>IF(I404="","Active","Exited")</x:f>
        <x:v>Exited</x:v>
      </x:c>
      <x:c r="L404" s="16" t="n">
        <x:f>(YEAR(IF(I404="",TODAY(),I404))-YEAR(H404))*12+MONTH(IF(I404="",TODAY(),I404))-MONTH(H404)</x:f>
        <x:v>88</x:v>
      </x:c>
      <x:c r="M404" s="36" t="n">
        <x:f>DATE(YEAR(H404),MONTH(H404),1)</x:f>
        <x:v>43009</x:v>
      </x:c>
      <x:c r="N404" s="36" t="n">
        <x:f>IF(I404="","",DATE(YEAR(I404),MONTH(I404),1))</x:f>
        <x:v>45689</x:v>
      </x:c>
    </x:row>
    <x:row r="405">
      <x:c r="A405" s="16" t="str">
        <x:v>HG-01404</x:v>
      </x:c>
      <x:c r="B405" s="16" t="str">
        <x:v>Shakil Chowdhury</x:v>
      </x:c>
      <x:c r="C405" s="16" t="str">
        <x:v>Male</x:v>
      </x:c>
      <x:c r="D405" s="16" t="str">
        <x:v>Production</x:v>
      </x:c>
      <x:c r="E405" s="16" t="str">
        <x:v>Senior Operator</x:v>
      </x:c>
      <x:c r="F405" s="16" t="str">
        <x:v>Chattogram Office</x:v>
      </x:c>
      <x:c r="G405" s="16" t="str">
        <x:v>Permanent</x:v>
      </x:c>
      <x:c r="H405" s="35" t="n">
        <x:v>44404</x:v>
      </x:c>
      <x:c r="I405" s="35"/>
      <x:c r="J405" s="16" t="str"/>
      <x:c r="K405" s="16" t="str">
        <x:f>IF(I405="","Active","Exited")</x:f>
        <x:v>Active</x:v>
      </x:c>
      <x:c r="L405" s="16" t="n">
        <x:f>(YEAR(IF(I405="",TODAY(),I405))-YEAR(H405))*12+MONTH(IF(I405="",TODAY(),I405))-MONTH(H405)</x:f>
        <x:v>60</x:v>
      </x:c>
      <x:c r="M405" s="36" t="n">
        <x:f>DATE(YEAR(H405),MONTH(H405),1)</x:f>
        <x:v>44378</x:v>
      </x:c>
      <x:c r="N405" s="36" t="str">
        <x:f>IF(I405="","",DATE(YEAR(I405),MONTH(I405),1))</x:f>
      </x:c>
    </x:row>
    <x:row r="406">
      <x:c r="A406" s="16" t="str">
        <x:v>HG-01405</x:v>
      </x:c>
      <x:c r="B406" s="16" t="str">
        <x:v>Mizan Kabir</x:v>
      </x:c>
      <x:c r="C406" s="16" t="str">
        <x:v>Male</x:v>
      </x:c>
      <x:c r="D406" s="16" t="str">
        <x:v>Information Technology</x:v>
      </x:c>
      <x:c r="E406" s="16" t="str">
        <x:v>Assistant Manager - IT</x:v>
      </x:c>
      <x:c r="F406" s="16" t="str">
        <x:v>Dhaka Head Office</x:v>
      </x:c>
      <x:c r="G406" s="16" t="str">
        <x:v>Permanent</x:v>
      </x:c>
      <x:c r="H406" s="35" t="n">
        <x:v>43639</x:v>
      </x:c>
      <x:c r="I406" s="35" t="n">
        <x:v>45687</x:v>
      </x:c>
      <x:c r="J406" s="16" t="str">
        <x:v>End of Contract</x:v>
      </x:c>
      <x:c r="K406" s="16" t="str">
        <x:f>IF(I406="","Active","Exited")</x:f>
        <x:v>Exited</x:v>
      </x:c>
      <x:c r="L406" s="16" t="n">
        <x:f>(YEAR(IF(I406="",TODAY(),I406))-YEAR(H406))*12+MONTH(IF(I406="",TODAY(),I406))-MONTH(H406)</x:f>
        <x:v>67</x:v>
      </x:c>
      <x:c r="M406" s="36" t="n">
        <x:f>DATE(YEAR(H406),MONTH(H406),1)</x:f>
        <x:v>43617</x:v>
      </x:c>
      <x:c r="N406" s="36" t="n">
        <x:f>IF(I406="","",DATE(YEAR(I406),MONTH(I406),1))</x:f>
        <x:v>45658</x:v>
      </x:c>
    </x:row>
    <x:row r="407">
      <x:c r="A407" s="16" t="str">
        <x:v>HG-01406</x:v>
      </x:c>
      <x:c r="B407" s="16" t="str">
        <x:v>Sajid Akter</x:v>
      </x:c>
      <x:c r="C407" s="16" t="str">
        <x:v>Male</x:v>
      </x:c>
      <x:c r="D407" s="16" t="str">
        <x:v>Sales &amp; Marketing</x:v>
      </x:c>
      <x:c r="E407" s="16" t="str">
        <x:v>Key Account Executive</x:v>
      </x:c>
      <x:c r="F407" s="16" t="str">
        <x:v>Chattogram Office</x:v>
      </x:c>
      <x:c r="G407" s="16" t="str">
        <x:v>Permanent</x:v>
      </x:c>
      <x:c r="H407" s="35" t="n">
        <x:v>43338</x:v>
      </x:c>
      <x:c r="I407" s="35"/>
      <x:c r="J407" s="16" t="str"/>
      <x:c r="K407" s="16" t="str">
        <x:f>IF(I407="","Active","Exited")</x:f>
        <x:v>Active</x:v>
      </x:c>
      <x:c r="L407" s="16" t="n">
        <x:f>(YEAR(IF(I407="",TODAY(),I407))-YEAR(H407))*12+MONTH(IF(I407="",TODAY(),I407))-MONTH(H407)</x:f>
        <x:v>95</x:v>
      </x:c>
      <x:c r="M407" s="36" t="n">
        <x:f>DATE(YEAR(H407),MONTH(H407),1)</x:f>
        <x:v>43313</x:v>
      </x:c>
      <x:c r="N407" s="36" t="str">
        <x:f>IF(I407="","",DATE(YEAR(I407),MONTH(I407),1))</x:f>
      </x:c>
    </x:row>
    <x:row r="408">
      <x:c r="A408" s="16" t="str">
        <x:v>HG-01407</x:v>
      </x:c>
      <x:c r="B408" s="16" t="str">
        <x:v>Foysal Karim</x:v>
      </x:c>
      <x:c r="C408" s="16" t="str">
        <x:v>Male</x:v>
      </x:c>
      <x:c r="D408" s="16" t="str">
        <x:v>Sales &amp; Marketing</x:v>
      </x:c>
      <x:c r="E408" s="16" t="str">
        <x:v>Key Account Executive</x:v>
      </x:c>
      <x:c r="F408" s="16" t="str">
        <x:v>Dhaka Head Office</x:v>
      </x:c>
      <x:c r="G408" s="16" t="str">
        <x:v>Permanent</x:v>
      </x:c>
      <x:c r="H408" s="35" t="n">
        <x:v>44960</x:v>
      </x:c>
      <x:c r="I408" s="35" t="n">
        <x:v>45726</x:v>
      </x:c>
      <x:c r="J408" s="16" t="str">
        <x:v>Work-Life Balance</x:v>
      </x:c>
      <x:c r="K408" s="16" t="str">
        <x:f>IF(I408="","Active","Exited")</x:f>
        <x:v>Exited</x:v>
      </x:c>
      <x:c r="L408" s="16" t="n">
        <x:f>(YEAR(IF(I408="",TODAY(),I408))-YEAR(H408))*12+MONTH(IF(I408="",TODAY(),I408))-MONTH(H408)</x:f>
        <x:v>25</x:v>
      </x:c>
      <x:c r="M408" s="36" t="n">
        <x:f>DATE(YEAR(H408),MONTH(H408),1)</x:f>
        <x:v>44958</x:v>
      </x:c>
      <x:c r="N408" s="36" t="n">
        <x:f>IF(I408="","",DATE(YEAR(I408),MONTH(I408),1))</x:f>
        <x:v>45717</x:v>
      </x:c>
    </x:row>
    <x:row r="409">
      <x:c r="A409" s="16" t="str">
        <x:v>HG-01408</x:v>
      </x:c>
      <x:c r="B409" s="16" t="str">
        <x:v>Mahmud Chowdhury</x:v>
      </x:c>
      <x:c r="C409" s="16" t="str">
        <x:v>Male</x:v>
      </x:c>
      <x:c r="D409" s="16" t="str">
        <x:v>Sales &amp; Marketing</x:v>
      </x:c>
      <x:c r="E409" s="16" t="str">
        <x:v>Marketing Officer</x:v>
      </x:c>
      <x:c r="F409" s="16" t="str">
        <x:v>Chattogram Office</x:v>
      </x:c>
      <x:c r="G409" s="16" t="str">
        <x:v>Permanent</x:v>
      </x:c>
      <x:c r="H409" s="35" t="n">
        <x:v>44854</x:v>
      </x:c>
      <x:c r="I409" s="35"/>
      <x:c r="J409" s="16" t="str"/>
      <x:c r="K409" s="16" t="str">
        <x:f>IF(I409="","Active","Exited")</x:f>
        <x:v>Active</x:v>
      </x:c>
      <x:c r="L409" s="16" t="n">
        <x:f>(YEAR(IF(I409="",TODAY(),I409))-YEAR(H409))*12+MONTH(IF(I409="",TODAY(),I409))-MONTH(H409)</x:f>
        <x:v>45</x:v>
      </x:c>
      <x:c r="M409" s="36" t="n">
        <x:f>DATE(YEAR(H409),MONTH(H409),1)</x:f>
        <x:v>44835</x:v>
      </x:c>
      <x:c r="N409" s="36" t="str">
        <x:f>IF(I409="","",DATE(YEAR(I409),MONTH(I409),1))</x:f>
      </x:c>
    </x:row>
    <x:row r="410">
      <x:c r="A410" s="16" t="str">
        <x:v>HG-01409</x:v>
      </x:c>
      <x:c r="B410" s="16" t="str">
        <x:v>Fahim Chowdhury</x:v>
      </x:c>
      <x:c r="C410" s="16" t="str">
        <x:v>Male</x:v>
      </x:c>
      <x:c r="D410" s="16" t="str">
        <x:v>Quality Assurance</x:v>
      </x:c>
      <x:c r="E410" s="16" t="str">
        <x:v>Assistant Manager - QA</x:v>
      </x:c>
      <x:c r="F410" s="16" t="str">
        <x:v>Narayanganj Plant</x:v>
      </x:c>
      <x:c r="G410" s="16" t="str">
        <x:v>Permanent</x:v>
      </x:c>
      <x:c r="H410" s="35" t="n">
        <x:v>45431</x:v>
      </x:c>
      <x:c r="I410" s="35" t="n">
        <x:v>45682</x:v>
      </x:c>
      <x:c r="J410" s="16" t="str">
        <x:v>Supervisor / Management</x:v>
      </x:c>
      <x:c r="K410" s="16" t="str">
        <x:f>IF(I410="","Active","Exited")</x:f>
        <x:v>Exited</x:v>
      </x:c>
      <x:c r="L410" s="16" t="n">
        <x:f>(YEAR(IF(I410="",TODAY(),I410))-YEAR(H410))*12+MONTH(IF(I410="",TODAY(),I410))-MONTH(H410)</x:f>
        <x:v>8</x:v>
      </x:c>
      <x:c r="M410" s="36" t="n">
        <x:f>DATE(YEAR(H410),MONTH(H410),1)</x:f>
        <x:v>45413</x:v>
      </x:c>
      <x:c r="N410" s="36" t="n">
        <x:f>IF(I410="","",DATE(YEAR(I410),MONTH(I410),1))</x:f>
        <x:v>45658</x:v>
      </x:c>
    </x:row>
    <x:row r="411">
      <x:c r="A411" s="16" t="str">
        <x:v>HG-01410</x:v>
      </x:c>
      <x:c r="B411" s="16" t="str">
        <x:v>Jubayer Khan</x:v>
      </x:c>
      <x:c r="C411" s="16" t="str">
        <x:v>Male</x:v>
      </x:c>
      <x:c r="D411" s="16" t="str">
        <x:v>Information Technology</x:v>
      </x:c>
      <x:c r="E411" s="16" t="str">
        <x:v>Assistant Manager - IT</x:v>
      </x:c>
      <x:c r="F411" s="16" t="str">
        <x:v>Dhaka Head Office</x:v>
      </x:c>
      <x:c r="G411" s="16" t="str">
        <x:v>Permanent</x:v>
      </x:c>
      <x:c r="H411" s="35" t="n">
        <x:v>44346</x:v>
      </x:c>
      <x:c r="I411" s="35"/>
      <x:c r="J411" s="16" t="str"/>
      <x:c r="K411" s="16" t="str">
        <x:f>IF(I411="","Active","Exited")</x:f>
        <x:v>Active</x:v>
      </x:c>
      <x:c r="L411" s="16" t="n">
        <x:f>(YEAR(IF(I411="",TODAY(),I411))-YEAR(H411))*12+MONTH(IF(I411="",TODAY(),I411))-MONTH(H411)</x:f>
        <x:v>62</x:v>
      </x:c>
      <x:c r="M411" s="36" t="n">
        <x:f>DATE(YEAR(H411),MONTH(H411),1)</x:f>
        <x:v>44317</x:v>
      </x:c>
      <x:c r="N411" s="36" t="str">
        <x:f>IF(I411="","",DATE(YEAR(I411),MONTH(I411),1))</x:f>
      </x:c>
    </x:row>
    <x:row r="412">
      <x:c r="A412" s="16" t="str">
        <x:v>HG-01411</x:v>
      </x:c>
      <x:c r="B412" s="16" t="str">
        <x:v>Rakib Hasan</x:v>
      </x:c>
      <x:c r="C412" s="16" t="str">
        <x:v>Male</x:v>
      </x:c>
      <x:c r="D412" s="16" t="str">
        <x:v>Sales &amp; Marketing</x:v>
      </x:c>
      <x:c r="E412" s="16" t="str">
        <x:v>Territory Officer</x:v>
      </x:c>
      <x:c r="F412" s="16" t="str">
        <x:v>Dhaka Head Office</x:v>
      </x:c>
      <x:c r="G412" s="16" t="str">
        <x:v>Probation</x:v>
      </x:c>
      <x:c r="H412" s="35" t="n">
        <x:v>43440</x:v>
      </x:c>
      <x:c r="I412" s="35"/>
      <x:c r="J412" s="16" t="str"/>
      <x:c r="K412" s="16" t="str">
        <x:f>IF(I412="","Active","Exited")</x:f>
        <x:v>Active</x:v>
      </x:c>
      <x:c r="L412" s="16" t="n">
        <x:f>(YEAR(IF(I412="",TODAY(),I412))-YEAR(H412))*12+MONTH(IF(I412="",TODAY(),I412))-MONTH(H412)</x:f>
        <x:v>91</x:v>
      </x:c>
      <x:c r="M412" s="36" t="n">
        <x:f>DATE(YEAR(H412),MONTH(H412),1)</x:f>
        <x:v>43435</x:v>
      </x:c>
      <x:c r="N412" s="36" t="str">
        <x:f>IF(I412="","",DATE(YEAR(I412),MONTH(I412),1))</x:f>
      </x:c>
    </x:row>
    <x:row r="413">
      <x:c r="A413" s="16" t="str">
        <x:v>HG-01412</x:v>
      </x:c>
      <x:c r="B413" s="16" t="str">
        <x:v>Mim Chowdhury</x:v>
      </x:c>
      <x:c r="C413" s="16" t="str">
        <x:v>Female</x:v>
      </x:c>
      <x:c r="D413" s="16" t="str">
        <x:v>Sales &amp; Marketing</x:v>
      </x:c>
      <x:c r="E413" s="16" t="str">
        <x:v>Territory Officer</x:v>
      </x:c>
      <x:c r="F413" s="16" t="str">
        <x:v>Dhaka Head Office</x:v>
      </x:c>
      <x:c r="G413" s="16" t="str">
        <x:v>Permanent</x:v>
      </x:c>
      <x:c r="H413" s="35" t="n">
        <x:v>44189</x:v>
      </x:c>
      <x:c r="I413" s="35"/>
      <x:c r="J413" s="16" t="str"/>
      <x:c r="K413" s="16" t="str">
        <x:f>IF(I413="","Active","Exited")</x:f>
        <x:v>Active</x:v>
      </x:c>
      <x:c r="L413" s="16" t="n">
        <x:f>(YEAR(IF(I413="",TODAY(),I413))-YEAR(H413))*12+MONTH(IF(I413="",TODAY(),I413))-MONTH(H413)</x:f>
        <x:v>67</x:v>
      </x:c>
      <x:c r="M413" s="36" t="n">
        <x:f>DATE(YEAR(H413),MONTH(H413),1)</x:f>
        <x:v>44166</x:v>
      </x:c>
      <x:c r="N413" s="36" t="str">
        <x:f>IF(I413="","",DATE(YEAR(I413),MONTH(I413),1))</x:f>
      </x:c>
    </x:row>
    <x:row r="414">
      <x:c r="A414" s="16" t="str">
        <x:v>HG-01413</x:v>
      </x:c>
      <x:c r="B414" s="16" t="str">
        <x:v>Nayeem Akter</x:v>
      </x:c>
      <x:c r="C414" s="16" t="str">
        <x:v>Male</x:v>
      </x:c>
      <x:c r="D414" s="16" t="str">
        <x:v>Sales &amp; Marketing</x:v>
      </x:c>
      <x:c r="E414" s="16" t="str">
        <x:v>Assistant Manager - Sales</x:v>
      </x:c>
      <x:c r="F414" s="16" t="str">
        <x:v>Dhaka Head Office</x:v>
      </x:c>
      <x:c r="G414" s="16" t="str">
        <x:v>Contract</x:v>
      </x:c>
      <x:c r="H414" s="35" t="n">
        <x:v>45417</x:v>
      </x:c>
      <x:c r="I414" s="35"/>
      <x:c r="J414" s="16" t="str"/>
      <x:c r="K414" s="16" t="str">
        <x:f>IF(I414="","Active","Exited")</x:f>
        <x:v>Active</x:v>
      </x:c>
      <x:c r="L414" s="16" t="n">
        <x:f>(YEAR(IF(I414="",TODAY(),I414))-YEAR(H414))*12+MONTH(IF(I414="",TODAY(),I414))-MONTH(H414)</x:f>
        <x:v>26</x:v>
      </x:c>
      <x:c r="M414" s="36" t="n">
        <x:f>DATE(YEAR(H414),MONTH(H414),1)</x:f>
        <x:v>45413</x:v>
      </x:c>
      <x:c r="N414" s="36" t="str">
        <x:f>IF(I414="","",DATE(YEAR(I414),MONTH(I414),1))</x:f>
      </x:c>
    </x:row>
    <x:row r="415">
      <x:c r="A415" s="16" t="str">
        <x:v>HG-01414</x:v>
      </x:c>
      <x:c r="B415" s="16" t="str">
        <x:v>Tanvir Khan</x:v>
      </x:c>
      <x:c r="C415" s="16" t="str">
        <x:v>Male</x:v>
      </x:c>
      <x:c r="D415" s="16" t="str">
        <x:v>Quality Assurance</x:v>
      </x:c>
      <x:c r="E415" s="16" t="str">
        <x:v>Assistant Manager - QA</x:v>
      </x:c>
      <x:c r="F415" s="16" t="str">
        <x:v>Gazipur Plant</x:v>
      </x:c>
      <x:c r="G415" s="16" t="str">
        <x:v>Probation</x:v>
      </x:c>
      <x:c r="H415" s="35" t="n">
        <x:v>43409</x:v>
      </x:c>
      <x:c r="I415" s="35"/>
      <x:c r="J415" s="16" t="str"/>
      <x:c r="K415" s="16" t="str">
        <x:f>IF(I415="","Active","Exited")</x:f>
        <x:v>Active</x:v>
      </x:c>
      <x:c r="L415" s="16" t="n">
        <x:f>(YEAR(IF(I415="",TODAY(),I415))-YEAR(H415))*12+MONTH(IF(I415="",TODAY(),I415))-MONTH(H415)</x:f>
        <x:v>92</x:v>
      </x:c>
      <x:c r="M415" s="36" t="n">
        <x:f>DATE(YEAR(H415),MONTH(H415),1)</x:f>
        <x:v>43405</x:v>
      </x:c>
      <x:c r="N415" s="36" t="str">
        <x:f>IF(I415="","",DATE(YEAR(I415),MONTH(I415),1))</x:f>
      </x:c>
    </x:row>
    <x:row r="416">
      <x:c r="A416" s="16" t="str">
        <x:v>HG-01415</x:v>
      </x:c>
      <x:c r="B416" s="16" t="str">
        <x:v>Tasnim Islam</x:v>
      </x:c>
      <x:c r="C416" s="16" t="str">
        <x:v>Female</x:v>
      </x:c>
      <x:c r="D416" s="16" t="str">
        <x:v>Finance &amp; Accounts</x:v>
      </x:c>
      <x:c r="E416" s="16" t="str">
        <x:v>Senior Accounts Executive</x:v>
      </x:c>
      <x:c r="F416" s="16" t="str">
        <x:v>Dhaka Head Office</x:v>
      </x:c>
      <x:c r="G416" s="16" t="str">
        <x:v>Contract</x:v>
      </x:c>
      <x:c r="H416" s="35" t="n">
        <x:v>43781</x:v>
      </x:c>
      <x:c r="I416" s="35"/>
      <x:c r="J416" s="16" t="str"/>
      <x:c r="K416" s="16" t="str">
        <x:f>IF(I416="","Active","Exited")</x:f>
        <x:v>Active</x:v>
      </x:c>
      <x:c r="L416" s="16" t="n">
        <x:f>(YEAR(IF(I416="",TODAY(),I416))-YEAR(H416))*12+MONTH(IF(I416="",TODAY(),I416))-MONTH(H416)</x:f>
        <x:v>80</x:v>
      </x:c>
      <x:c r="M416" s="36" t="n">
        <x:f>DATE(YEAR(H416),MONTH(H416),1)</x:f>
        <x:v>43770</x:v>
      </x:c>
      <x:c r="N416" s="36" t="str">
        <x:f>IF(I416="","",DATE(YEAR(I416),MONTH(I416),1))</x:f>
      </x:c>
    </x:row>
    <x:row r="417">
      <x:c r="A417" s="16" t="str">
        <x:v>HG-01416</x:v>
      </x:c>
      <x:c r="B417" s="16" t="str">
        <x:v>Tasnim Rahman</x:v>
      </x:c>
      <x:c r="C417" s="16" t="str">
        <x:v>Female</x:v>
      </x:c>
      <x:c r="D417" s="16" t="str">
        <x:v>Administration</x:v>
      </x:c>
      <x:c r="E417" s="16" t="str">
        <x:v>Admin Executive</x:v>
      </x:c>
      <x:c r="F417" s="16" t="str">
        <x:v>Dhaka Head Office</x:v>
      </x:c>
      <x:c r="G417" s="16" t="str">
        <x:v>Permanent</x:v>
      </x:c>
      <x:c r="H417" s="35" t="n">
        <x:v>43145</x:v>
      </x:c>
      <x:c r="I417" s="35"/>
      <x:c r="J417" s="16" t="str"/>
      <x:c r="K417" s="16" t="str">
        <x:f>IF(I417="","Active","Exited")</x:f>
        <x:v>Active</x:v>
      </x:c>
      <x:c r="L417" s="16" t="n">
        <x:f>(YEAR(IF(I417="",TODAY(),I417))-YEAR(H417))*12+MONTH(IF(I417="",TODAY(),I417))-MONTH(H417)</x:f>
        <x:v>101</x:v>
      </x:c>
      <x:c r="M417" s="36" t="n">
        <x:f>DATE(YEAR(H417),MONTH(H417),1)</x:f>
        <x:v>43132</x:v>
      </x:c>
      <x:c r="N417" s="36" t="str">
        <x:f>IF(I417="","",DATE(YEAR(I417),MONTH(I417),1))</x:f>
      </x:c>
    </x:row>
    <x:row r="418">
      <x:c r="A418" s="16" t="str">
        <x:v>HG-01417</x:v>
      </x:c>
      <x:c r="B418" s="16" t="str">
        <x:v>Sajid Alam</x:v>
      </x:c>
      <x:c r="C418" s="16" t="str">
        <x:v>Male</x:v>
      </x:c>
      <x:c r="D418" s="16" t="str">
        <x:v>Human Resources</x:v>
      </x:c>
      <x:c r="E418" s="16" t="str">
        <x:v>Senior HR Executive</x:v>
      </x:c>
      <x:c r="F418" s="16" t="str">
        <x:v>Dhaka Head Office</x:v>
      </x:c>
      <x:c r="G418" s="16" t="str">
        <x:v>Permanent</x:v>
      </x:c>
      <x:c r="H418" s="35" t="n">
        <x:v>44935</x:v>
      </x:c>
      <x:c r="I418" s="35"/>
      <x:c r="J418" s="16" t="str"/>
      <x:c r="K418" s="16" t="str">
        <x:f>IF(I418="","Active","Exited")</x:f>
        <x:v>Active</x:v>
      </x:c>
      <x:c r="L418" s="16" t="n">
        <x:f>(YEAR(IF(I418="",TODAY(),I418))-YEAR(H418))*12+MONTH(IF(I418="",TODAY(),I418))-MONTH(H418)</x:f>
        <x:v>42</x:v>
      </x:c>
      <x:c r="M418" s="36" t="n">
        <x:f>DATE(YEAR(H418),MONTH(H418),1)</x:f>
        <x:v>44927</x:v>
      </x:c>
      <x:c r="N418" s="36" t="str">
        <x:f>IF(I418="","",DATE(YEAR(I418),MONTH(I418),1))</x:f>
      </x:c>
    </x:row>
    <x:row r="419">
      <x:c r="A419" s="16" t="str">
        <x:v>HG-01418</x:v>
      </x:c>
      <x:c r="B419" s="16" t="str">
        <x:v>Nazmul Hasan</x:v>
      </x:c>
      <x:c r="C419" s="16" t="str">
        <x:v>Male</x:v>
      </x:c>
      <x:c r="D419" s="16" t="str">
        <x:v>Supply Chain</x:v>
      </x:c>
      <x:c r="E419" s="16" t="str">
        <x:v>Senior Supply Chain Executive</x:v>
      </x:c>
      <x:c r="F419" s="16" t="str">
        <x:v>Gazipur Plant</x:v>
      </x:c>
      <x:c r="G419" s="16" t="str">
        <x:v>Permanent</x:v>
      </x:c>
      <x:c r="H419" s="35" t="n">
        <x:v>43641</x:v>
      </x:c>
      <x:c r="I419" s="35"/>
      <x:c r="J419" s="16" t="str"/>
      <x:c r="K419" s="16" t="str">
        <x:f>IF(I419="","Active","Exited")</x:f>
        <x:v>Active</x:v>
      </x:c>
      <x:c r="L419" s="16" t="n">
        <x:f>(YEAR(IF(I419="",TODAY(),I419))-YEAR(H419))*12+MONTH(IF(I419="",TODAY(),I419))-MONTH(H419)</x:f>
        <x:v>85</x:v>
      </x:c>
      <x:c r="M419" s="36" t="n">
        <x:f>DATE(YEAR(H419),MONTH(H419),1)</x:f>
        <x:v>43617</x:v>
      </x:c>
      <x:c r="N419" s="36" t="str">
        <x:f>IF(I419="","",DATE(YEAR(I419),MONTH(I419),1))</x:f>
      </x:c>
    </x:row>
    <x:row r="420">
      <x:c r="A420" s="16" t="str">
        <x:v>HG-01419</x:v>
      </x:c>
      <x:c r="B420" s="16" t="str">
        <x:v>Mahmud Khan</x:v>
      </x:c>
      <x:c r="C420" s="16" t="str">
        <x:v>Male</x:v>
      </x:c>
      <x:c r="D420" s="16" t="str">
        <x:v>Supply Chain</x:v>
      </x:c>
      <x:c r="E420" s="16" t="str">
        <x:v>Inventory Officer</x:v>
      </x:c>
      <x:c r="F420" s="16" t="str">
        <x:v>Narayanganj Plant</x:v>
      </x:c>
      <x:c r="G420" s="16" t="str">
        <x:v>Permanent</x:v>
      </x:c>
      <x:c r="H420" s="35" t="n">
        <x:v>43790</x:v>
      </x:c>
      <x:c r="I420" s="35"/>
      <x:c r="J420" s="16" t="str"/>
      <x:c r="K420" s="16" t="str">
        <x:f>IF(I420="","Active","Exited")</x:f>
        <x:v>Active</x:v>
      </x:c>
      <x:c r="L420" s="16" t="n">
        <x:f>(YEAR(IF(I420="",TODAY(),I420))-YEAR(H420))*12+MONTH(IF(I420="",TODAY(),I420))-MONTH(H420)</x:f>
        <x:v>80</x:v>
      </x:c>
      <x:c r="M420" s="36" t="n">
        <x:f>DATE(YEAR(H420),MONTH(H420),1)</x:f>
        <x:v>43770</x:v>
      </x:c>
      <x:c r="N420" s="36" t="str">
        <x:f>IF(I420="","",DATE(YEAR(I420),MONTH(I420),1))</x:f>
      </x:c>
    </x:row>
    <x:row r="421">
      <x:c r="A421" s="16" t="str">
        <x:v>HG-01420</x:v>
      </x:c>
      <x:c r="B421" s="16" t="str">
        <x:v>Arif Chowdhury</x:v>
      </x:c>
      <x:c r="C421" s="16" t="str">
        <x:v>Male</x:v>
      </x:c>
      <x:c r="D421" s="16" t="str">
        <x:v>Production</x:v>
      </x:c>
      <x:c r="E421" s="16" t="str">
        <x:v>Senior Operator</x:v>
      </x:c>
      <x:c r="F421" s="16" t="str">
        <x:v>Gazipur Plant</x:v>
      </x:c>
      <x:c r="G421" s="16" t="str">
        <x:v>Permanent</x:v>
      </x:c>
      <x:c r="H421" s="35" t="n">
        <x:v>45476</x:v>
      </x:c>
      <x:c r="I421" s="35"/>
      <x:c r="J421" s="16" t="str"/>
      <x:c r="K421" s="16" t="str">
        <x:f>IF(I421="","Active","Exited")</x:f>
        <x:v>Active</x:v>
      </x:c>
      <x:c r="L421" s="16" t="n">
        <x:f>(YEAR(IF(I421="",TODAY(),I421))-YEAR(H421))*12+MONTH(IF(I421="",TODAY(),I421))-MONTH(H421)</x:f>
        <x:v>24</x:v>
      </x:c>
      <x:c r="M421" s="36" t="n">
        <x:f>DATE(YEAR(H421),MONTH(H421),1)</x:f>
        <x:v>45474</x:v>
      </x:c>
      <x:c r="N421" s="36" t="str">
        <x:f>IF(I421="","",DATE(YEAR(I421),MONTH(I421),1))</x:f>
      </x:c>
    </x:row>
    <x:row r="422">
      <x:c r="A422" s="16" t="str">
        <x:v>HG-01421</x:v>
      </x:c>
      <x:c r="B422" s="16" t="str">
        <x:v>Farhan Alam</x:v>
      </x:c>
      <x:c r="C422" s="16" t="str">
        <x:v>Male</x:v>
      </x:c>
      <x:c r="D422" s="16" t="str">
        <x:v>Production</x:v>
      </x:c>
      <x:c r="E422" s="16" t="str">
        <x:v>Line Supervisor</x:v>
      </x:c>
      <x:c r="F422" s="16" t="str">
        <x:v>Gazipur Plant</x:v>
      </x:c>
      <x:c r="G422" s="16" t="str">
        <x:v>Permanent</x:v>
      </x:c>
      <x:c r="H422" s="35" t="n">
        <x:v>44599</x:v>
      </x:c>
      <x:c r="I422" s="35"/>
      <x:c r="J422" s="16" t="str"/>
      <x:c r="K422" s="16" t="str">
        <x:f>IF(I422="","Active","Exited")</x:f>
        <x:v>Active</x:v>
      </x:c>
      <x:c r="L422" s="16" t="n">
        <x:f>(YEAR(IF(I422="",TODAY(),I422))-YEAR(H422))*12+MONTH(IF(I422="",TODAY(),I422))-MONTH(H422)</x:f>
        <x:v>53</x:v>
      </x:c>
      <x:c r="M422" s="36" t="n">
        <x:f>DATE(YEAR(H422),MONTH(H422),1)</x:f>
        <x:v>44593</x:v>
      </x:c>
      <x:c r="N422" s="36" t="str">
        <x:f>IF(I422="","",DATE(YEAR(I422),MONTH(I422),1))</x:f>
      </x:c>
    </x:row>
    <x:row r="423">
      <x:c r="A423" s="16" t="str">
        <x:v>HG-01422</x:v>
      </x:c>
      <x:c r="B423" s="16" t="str">
        <x:v>Sharmin Alam</x:v>
      </x:c>
      <x:c r="C423" s="16" t="str">
        <x:v>Female</x:v>
      </x:c>
      <x:c r="D423" s="16" t="str">
        <x:v>Supply Chain</x:v>
      </x:c>
      <x:c r="E423" s="16" t="str">
        <x:v>Inventory Officer</x:v>
      </x:c>
      <x:c r="F423" s="16" t="str">
        <x:v>Gazipur Plant</x:v>
      </x:c>
      <x:c r="G423" s="16" t="str">
        <x:v>Permanent</x:v>
      </x:c>
      <x:c r="H423" s="35" t="n">
        <x:v>43025</x:v>
      </x:c>
      <x:c r="I423" s="35"/>
      <x:c r="J423" s="16" t="str"/>
      <x:c r="K423" s="16" t="str">
        <x:f>IF(I423="","Active","Exited")</x:f>
        <x:v>Active</x:v>
      </x:c>
      <x:c r="L423" s="16" t="n">
        <x:f>(YEAR(IF(I423="",TODAY(),I423))-YEAR(H423))*12+MONTH(IF(I423="",TODAY(),I423))-MONTH(H423)</x:f>
        <x:v>105</x:v>
      </x:c>
      <x:c r="M423" s="36" t="n">
        <x:f>DATE(YEAR(H423),MONTH(H423),1)</x:f>
        <x:v>43009</x:v>
      </x:c>
      <x:c r="N423" s="36" t="str">
        <x:f>IF(I423="","",DATE(YEAR(I423),MONTH(I423),1))</x:f>
      </x:c>
    </x:row>
    <x:row r="424">
      <x:c r="A424" s="16" t="str">
        <x:v>HG-01423</x:v>
      </x:c>
      <x:c r="B424" s="16" t="str">
        <x:v>Imran Karim</x:v>
      </x:c>
      <x:c r="C424" s="16" t="str">
        <x:v>Male</x:v>
      </x:c>
      <x:c r="D424" s="16" t="str">
        <x:v>Production</x:v>
      </x:c>
      <x:c r="E424" s="16" t="str">
        <x:v>Production Officer</x:v>
      </x:c>
      <x:c r="F424" s="16" t="str">
        <x:v>Narayanganj Plant</x:v>
      </x:c>
      <x:c r="G424" s="16" t="str">
        <x:v>Permanent</x:v>
      </x:c>
      <x:c r="H424" s="35" t="n">
        <x:v>44209</x:v>
      </x:c>
      <x:c r="I424" s="35"/>
      <x:c r="J424" s="16" t="str"/>
      <x:c r="K424" s="16" t="str">
        <x:f>IF(I424="","Active","Exited")</x:f>
        <x:v>Active</x:v>
      </x:c>
      <x:c r="L424" s="16" t="n">
        <x:f>(YEAR(IF(I424="",TODAY(),I424))-YEAR(H424))*12+MONTH(IF(I424="",TODAY(),I424))-MONTH(H424)</x:f>
        <x:v>66</x:v>
      </x:c>
      <x:c r="M424" s="36" t="n">
        <x:f>DATE(YEAR(H424),MONTH(H424),1)</x:f>
        <x:v>44197</x:v>
      </x:c>
      <x:c r="N424" s="36" t="str">
        <x:f>IF(I424="","",DATE(YEAR(I424),MONTH(I424),1))</x:f>
      </x:c>
    </x:row>
    <x:row r="425">
      <x:c r="A425" s="16" t="str">
        <x:v>HG-01424</x:v>
      </x:c>
      <x:c r="B425" s="16" t="str">
        <x:v>Sajid Alam</x:v>
      </x:c>
      <x:c r="C425" s="16" t="str">
        <x:v>Male</x:v>
      </x:c>
      <x:c r="D425" s="16" t="str">
        <x:v>Quality Assurance</x:v>
      </x:c>
      <x:c r="E425" s="16" t="str">
        <x:v>Assistant Manager - QA</x:v>
      </x:c>
      <x:c r="F425" s="16" t="str">
        <x:v>Dhaka Head Office</x:v>
      </x:c>
      <x:c r="G425" s="16" t="str">
        <x:v>Contract</x:v>
      </x:c>
      <x:c r="H425" s="35" t="n">
        <x:v>43255</x:v>
      </x:c>
      <x:c r="I425" s="35"/>
      <x:c r="J425" s="16" t="str"/>
      <x:c r="K425" s="16" t="str">
        <x:f>IF(I425="","Active","Exited")</x:f>
        <x:v>Active</x:v>
      </x:c>
      <x:c r="L425" s="16" t="n">
        <x:f>(YEAR(IF(I425="",TODAY(),I425))-YEAR(H425))*12+MONTH(IF(I425="",TODAY(),I425))-MONTH(H425)</x:f>
        <x:v>97</x:v>
      </x:c>
      <x:c r="M425" s="36" t="n">
        <x:f>DATE(YEAR(H425),MONTH(H425),1)</x:f>
        <x:v>43252</x:v>
      </x:c>
      <x:c r="N425" s="36" t="str">
        <x:f>IF(I425="","",DATE(YEAR(I425),MONTH(I425),1))</x:f>
      </x:c>
    </x:row>
    <x:row r="426">
      <x:c r="A426" s="16" t="str">
        <x:v>HG-01425</x:v>
      </x:c>
      <x:c r="B426" s="16" t="str">
        <x:v>Tanvir Uddin</x:v>
      </x:c>
      <x:c r="C426" s="16" t="str">
        <x:v>Male</x:v>
      </x:c>
      <x:c r="D426" s="16" t="str">
        <x:v>Administration</x:v>
      </x:c>
      <x:c r="E426" s="16" t="str">
        <x:v>Admin Executive</x:v>
      </x:c>
      <x:c r="F426" s="16" t="str">
        <x:v>Chattogram Office</x:v>
      </x:c>
      <x:c r="G426" s="16" t="str">
        <x:v>Permanent</x:v>
      </x:c>
      <x:c r="H426" s="35" t="n">
        <x:v>44799</x:v>
      </x:c>
      <x:c r="I426" s="35" t="n">
        <x:v>45911</x:v>
      </x:c>
      <x:c r="J426" s="16" t="str">
        <x:v>Better Opportunity</x:v>
      </x:c>
      <x:c r="K426" s="16" t="str">
        <x:f>IF(I426="","Active","Exited")</x:f>
        <x:v>Exited</x:v>
      </x:c>
      <x:c r="L426" s="16" t="n">
        <x:f>(YEAR(IF(I426="",TODAY(),I426))-YEAR(H426))*12+MONTH(IF(I426="",TODAY(),I426))-MONTH(H426)</x:f>
        <x:v>37</x:v>
      </x:c>
      <x:c r="M426" s="36" t="n">
        <x:f>DATE(YEAR(H426),MONTH(H426),1)</x:f>
        <x:v>44774</x:v>
      </x:c>
      <x:c r="N426" s="36" t="n">
        <x:f>IF(I426="","",DATE(YEAR(I426),MONTH(I426),1))</x:f>
        <x:v>45901</x:v>
      </x:c>
    </x:row>
    <x:row r="427">
      <x:c r="A427" s="16" t="str">
        <x:v>HG-01426</x:v>
      </x:c>
      <x:c r="B427" s="16" t="str">
        <x:v>Nabila Karim</x:v>
      </x:c>
      <x:c r="C427" s="16" t="str">
        <x:v>Female</x:v>
      </x:c>
      <x:c r="D427" s="16" t="str">
        <x:v>Supply Chain</x:v>
      </x:c>
      <x:c r="E427" s="16" t="str">
        <x:v>Senior Supply Chain Executive</x:v>
      </x:c>
      <x:c r="F427" s="16" t="str">
        <x:v>Chattogram Office</x:v>
      </x:c>
      <x:c r="G427" s="16" t="str">
        <x:v>Probation</x:v>
      </x:c>
      <x:c r="H427" s="35" t="n">
        <x:v>45137</x:v>
      </x:c>
      <x:c r="I427" s="35"/>
      <x:c r="J427" s="16" t="str"/>
      <x:c r="K427" s="16" t="str">
        <x:f>IF(I427="","Active","Exited")</x:f>
        <x:v>Active</x:v>
      </x:c>
      <x:c r="L427" s="16" t="n">
        <x:f>(YEAR(IF(I427="",TODAY(),I427))-YEAR(H427))*12+MONTH(IF(I427="",TODAY(),I427))-MONTH(H427)</x:f>
        <x:v>36</x:v>
      </x:c>
      <x:c r="M427" s="36" t="n">
        <x:f>DATE(YEAR(H427),MONTH(H427),1)</x:f>
        <x:v>45108</x:v>
      </x:c>
      <x:c r="N427" s="36" t="str">
        <x:f>IF(I427="","",DATE(YEAR(I427),MONTH(I427),1))</x:f>
      </x:c>
    </x:row>
    <x:row r="428">
      <x:c r="A428" s="16" t="str">
        <x:v>HG-01427</x:v>
      </x:c>
      <x:c r="B428" s="16" t="str">
        <x:v>Imran Hossain</x:v>
      </x:c>
      <x:c r="C428" s="16" t="str">
        <x:v>Male</x:v>
      </x:c>
      <x:c r="D428" s="16" t="str">
        <x:v>Production</x:v>
      </x:c>
      <x:c r="E428" s="16" t="str">
        <x:v>Senior Operator</x:v>
      </x:c>
      <x:c r="F428" s="16" t="str">
        <x:v>Gazipur Plant</x:v>
      </x:c>
      <x:c r="G428" s="16" t="str">
        <x:v>Permanent</x:v>
      </x:c>
      <x:c r="H428" s="35" t="n">
        <x:v>42943</x:v>
      </x:c>
      <x:c r="I428" s="35"/>
      <x:c r="J428" s="16" t="str"/>
      <x:c r="K428" s="16" t="str">
        <x:f>IF(I428="","Active","Exited")</x:f>
        <x:v>Active</x:v>
      </x:c>
      <x:c r="L428" s="16" t="n">
        <x:f>(YEAR(IF(I428="",TODAY(),I428))-YEAR(H428))*12+MONTH(IF(I428="",TODAY(),I428))-MONTH(H428)</x:f>
        <x:v>108</x:v>
      </x:c>
      <x:c r="M428" s="36" t="n">
        <x:f>DATE(YEAR(H428),MONTH(H428),1)</x:f>
        <x:v>42917</x:v>
      </x:c>
      <x:c r="N428" s="36" t="str">
        <x:f>IF(I428="","",DATE(YEAR(I428),MONTH(I428),1))</x:f>
      </x:c>
    </x:row>
    <x:row r="429">
      <x:c r="A429" s="16" t="str">
        <x:v>HG-01428</x:v>
      </x:c>
      <x:c r="B429" s="16" t="str">
        <x:v>Rafi Begum</x:v>
      </x:c>
      <x:c r="C429" s="16" t="str">
        <x:v>Male</x:v>
      </x:c>
      <x:c r="D429" s="16" t="str">
        <x:v>Production</x:v>
      </x:c>
      <x:c r="E429" s="16" t="str">
        <x:v>Production Officer</x:v>
      </x:c>
      <x:c r="F429" s="16" t="str">
        <x:v>Gazipur Plant</x:v>
      </x:c>
      <x:c r="G429" s="16" t="str">
        <x:v>Permanent</x:v>
      </x:c>
      <x:c r="H429" s="35" t="n">
        <x:v>44702</x:v>
      </x:c>
      <x:c r="I429" s="35"/>
      <x:c r="J429" s="16" t="str"/>
      <x:c r="K429" s="16" t="str">
        <x:f>IF(I429="","Active","Exited")</x:f>
        <x:v>Active</x:v>
      </x:c>
      <x:c r="L429" s="16" t="n">
        <x:f>(YEAR(IF(I429="",TODAY(),I429))-YEAR(H429))*12+MONTH(IF(I429="",TODAY(),I429))-MONTH(H429)</x:f>
        <x:v>50</x:v>
      </x:c>
      <x:c r="M429" s="36" t="n">
        <x:f>DATE(YEAR(H429),MONTH(H429),1)</x:f>
        <x:v>44682</x:v>
      </x:c>
      <x:c r="N429" s="36" t="str">
        <x:f>IF(I429="","",DATE(YEAR(I429),MONTH(I429),1))</x:f>
      </x:c>
    </x:row>
    <x:row r="430">
      <x:c r="A430" s="16" t="str">
        <x:v>HG-01429</x:v>
      </x:c>
      <x:c r="B430" s="16" t="str">
        <x:v>Sharmin Ahmed</x:v>
      </x:c>
      <x:c r="C430" s="16" t="str">
        <x:v>Female</x:v>
      </x:c>
      <x:c r="D430" s="16" t="str">
        <x:v>Production</x:v>
      </x:c>
      <x:c r="E430" s="16" t="str">
        <x:v>Production Operator</x:v>
      </x:c>
      <x:c r="F430" s="16" t="str">
        <x:v>Gazipur Plant</x:v>
      </x:c>
      <x:c r="G430" s="16" t="str">
        <x:v>Permanent</x:v>
      </x:c>
      <x:c r="H430" s="35" t="n">
        <x:v>43996</x:v>
      </x:c>
      <x:c r="I430" s="35"/>
      <x:c r="J430" s="16" t="str"/>
      <x:c r="K430" s="16" t="str">
        <x:f>IF(I430="","Active","Exited")</x:f>
        <x:v>Active</x:v>
      </x:c>
      <x:c r="L430" s="16" t="n">
        <x:f>(YEAR(IF(I430="",TODAY(),I430))-YEAR(H430))*12+MONTH(IF(I430="",TODAY(),I430))-MONTH(H430)</x:f>
        <x:v>73</x:v>
      </x:c>
      <x:c r="M430" s="36" t="n">
        <x:f>DATE(YEAR(H430),MONTH(H430),1)</x:f>
        <x:v>43983</x:v>
      </x:c>
      <x:c r="N430" s="36" t="str">
        <x:f>IF(I430="","",DATE(YEAR(I430),MONTH(I430),1))</x:f>
      </x:c>
    </x:row>
    <x:row r="431">
      <x:c r="A431" s="16" t="str">
        <x:v>HG-01430</x:v>
      </x:c>
      <x:c r="B431" s="16" t="str">
        <x:v>Nusrat Khan</x:v>
      </x:c>
      <x:c r="C431" s="16" t="str">
        <x:v>Female</x:v>
      </x:c>
      <x:c r="D431" s="16" t="str">
        <x:v>Production</x:v>
      </x:c>
      <x:c r="E431" s="16" t="str">
        <x:v>Production Operator</x:v>
      </x:c>
      <x:c r="F431" s="16" t="str">
        <x:v>Gazipur Plant</x:v>
      </x:c>
      <x:c r="G431" s="16" t="str">
        <x:v>Permanent</x:v>
      </x:c>
      <x:c r="H431" s="35" t="n">
        <x:v>44443</x:v>
      </x:c>
      <x:c r="I431" s="35"/>
      <x:c r="J431" s="16" t="str"/>
      <x:c r="K431" s="16" t="str">
        <x:f>IF(I431="","Active","Exited")</x:f>
        <x:v>Active</x:v>
      </x:c>
      <x:c r="L431" s="16" t="n">
        <x:f>(YEAR(IF(I431="",TODAY(),I431))-YEAR(H431))*12+MONTH(IF(I431="",TODAY(),I431))-MONTH(H431)</x:f>
        <x:v>58</x:v>
      </x:c>
      <x:c r="M431" s="36" t="n">
        <x:f>DATE(YEAR(H431),MONTH(H431),1)</x:f>
        <x:v>44440</x:v>
      </x:c>
      <x:c r="N431" s="36" t="str">
        <x:f>IF(I431="","",DATE(YEAR(I431),MONTH(I431),1))</x:f>
      </x:c>
    </x:row>
    <x:row r="432">
      <x:c r="A432" s="16" t="str">
        <x:v>HG-01431</x:v>
      </x:c>
      <x:c r="B432" s="16" t="str">
        <x:v>Mizan Khan</x:v>
      </x:c>
      <x:c r="C432" s="16" t="str">
        <x:v>Male</x:v>
      </x:c>
      <x:c r="D432" s="16" t="str">
        <x:v>Human Resources</x:v>
      </x:c>
      <x:c r="E432" s="16" t="str">
        <x:v>HR Business Executive</x:v>
      </x:c>
      <x:c r="F432" s="16" t="str">
        <x:v>Dhaka Head Office</x:v>
      </x:c>
      <x:c r="G432" s="16" t="str">
        <x:v>Permanent</x:v>
      </x:c>
      <x:c r="H432" s="35" t="n">
        <x:v>43601</x:v>
      </x:c>
      <x:c r="I432" s="35"/>
      <x:c r="J432" s="16" t="str"/>
      <x:c r="K432" s="16" t="str">
        <x:f>IF(I432="","Active","Exited")</x:f>
        <x:v>Active</x:v>
      </x:c>
      <x:c r="L432" s="16" t="n">
        <x:f>(YEAR(IF(I432="",TODAY(),I432))-YEAR(H432))*12+MONTH(IF(I432="",TODAY(),I432))-MONTH(H432)</x:f>
        <x:v>86</x:v>
      </x:c>
      <x:c r="M432" s="36" t="n">
        <x:f>DATE(YEAR(H432),MONTH(H432),1)</x:f>
        <x:v>43586</x:v>
      </x:c>
      <x:c r="N432" s="36" t="str">
        <x:f>IF(I432="","",DATE(YEAR(I432),MONTH(I432),1))</x:f>
      </x:c>
    </x:row>
    <x:row r="433">
      <x:c r="A433" s="16" t="str">
        <x:v>HG-01432</x:v>
      </x:c>
      <x:c r="B433" s="16" t="str">
        <x:v>Tanjila Hossain</x:v>
      </x:c>
      <x:c r="C433" s="16" t="str">
        <x:v>Female</x:v>
      </x:c>
      <x:c r="D433" s="16" t="str">
        <x:v>Production</x:v>
      </x:c>
      <x:c r="E433" s="16" t="str">
        <x:v>Production Officer</x:v>
      </x:c>
      <x:c r="F433" s="16" t="str">
        <x:v>Gazipur Plant</x:v>
      </x:c>
      <x:c r="G433" s="16" t="str">
        <x:v>Permanent</x:v>
      </x:c>
      <x:c r="H433" s="35" t="n">
        <x:v>45029</x:v>
      </x:c>
      <x:c r="I433" s="35"/>
      <x:c r="J433" s="16" t="str"/>
      <x:c r="K433" s="16" t="str">
        <x:f>IF(I433="","Active","Exited")</x:f>
        <x:v>Active</x:v>
      </x:c>
      <x:c r="L433" s="16" t="n">
        <x:f>(YEAR(IF(I433="",TODAY(),I433))-YEAR(H433))*12+MONTH(IF(I433="",TODAY(),I433))-MONTH(H433)</x:f>
        <x:v>39</x:v>
      </x:c>
      <x:c r="M433" s="36" t="n">
        <x:f>DATE(YEAR(H433),MONTH(H433),1)</x:f>
        <x:v>45017</x:v>
      </x:c>
      <x:c r="N433" s="36" t="str">
        <x:f>IF(I433="","",DATE(YEAR(I433),MONTH(I433),1))</x:f>
      </x:c>
    </x:row>
    <x:row r="434">
      <x:c r="A434" s="16" t="str">
        <x:v>HG-01433</x:v>
      </x:c>
      <x:c r="B434" s="16" t="str">
        <x:v>Mehedi Hasan</x:v>
      </x:c>
      <x:c r="C434" s="16" t="str">
        <x:v>Male</x:v>
      </x:c>
      <x:c r="D434" s="16" t="str">
        <x:v>Production</x:v>
      </x:c>
      <x:c r="E434" s="16" t="str">
        <x:v>Line Supervisor</x:v>
      </x:c>
      <x:c r="F434" s="16" t="str">
        <x:v>Narayanganj Plant</x:v>
      </x:c>
      <x:c r="G434" s="16" t="str">
        <x:v>Permanent</x:v>
      </x:c>
      <x:c r="H434" s="35" t="n">
        <x:v>43791</x:v>
      </x:c>
      <x:c r="I434" s="35"/>
      <x:c r="J434" s="16" t="str"/>
      <x:c r="K434" s="16" t="str">
        <x:f>IF(I434="","Active","Exited")</x:f>
        <x:v>Active</x:v>
      </x:c>
      <x:c r="L434" s="16" t="n">
        <x:f>(YEAR(IF(I434="",TODAY(),I434))-YEAR(H434))*12+MONTH(IF(I434="",TODAY(),I434))-MONTH(H434)</x:f>
        <x:v>80</x:v>
      </x:c>
      <x:c r="M434" s="36" t="n">
        <x:f>DATE(YEAR(H434),MONTH(H434),1)</x:f>
        <x:v>43770</x:v>
      </x:c>
      <x:c r="N434" s="36" t="str">
        <x:f>IF(I434="","",DATE(YEAR(I434),MONTH(I434),1))</x:f>
      </x:c>
    </x:row>
    <x:row r="435">
      <x:c r="A435" s="16" t="str">
        <x:v>HG-01434</x:v>
      </x:c>
      <x:c r="B435" s="16" t="str">
        <x:v>Sadika Ahmed</x:v>
      </x:c>
      <x:c r="C435" s="16" t="str">
        <x:v>Female</x:v>
      </x:c>
      <x:c r="D435" s="16" t="str">
        <x:v>Production</x:v>
      </x:c>
      <x:c r="E435" s="16" t="str">
        <x:v>Senior Operator</x:v>
      </x:c>
      <x:c r="F435" s="16" t="str">
        <x:v>Chattogram Office</x:v>
      </x:c>
      <x:c r="G435" s="16" t="str">
        <x:v>Permanent</x:v>
      </x:c>
      <x:c r="H435" s="35" t="n">
        <x:v>45505</x:v>
      </x:c>
      <x:c r="I435" s="35"/>
      <x:c r="J435" s="16" t="str"/>
      <x:c r="K435" s="16" t="str">
        <x:f>IF(I435="","Active","Exited")</x:f>
        <x:v>Active</x:v>
      </x:c>
      <x:c r="L435" s="16" t="n">
        <x:f>(YEAR(IF(I435="",TODAY(),I435))-YEAR(H435))*12+MONTH(IF(I435="",TODAY(),I435))-MONTH(H435)</x:f>
        <x:v>23</x:v>
      </x:c>
      <x:c r="M435" s="36" t="n">
        <x:f>DATE(YEAR(H435),MONTH(H435),1)</x:f>
        <x:v>45505</x:v>
      </x:c>
      <x:c r="N435" s="36" t="str">
        <x:f>IF(I435="","",DATE(YEAR(I435),MONTH(I435),1))</x:f>
      </x:c>
    </x:row>
    <x:row r="436">
      <x:c r="A436" s="16" t="str">
        <x:v>HG-01435</x:v>
      </x:c>
      <x:c r="B436" s="16" t="str">
        <x:v>Mim Kabir</x:v>
      </x:c>
      <x:c r="C436" s="16" t="str">
        <x:v>Female</x:v>
      </x:c>
      <x:c r="D436" s="16" t="str">
        <x:v>Production</x:v>
      </x:c>
      <x:c r="E436" s="16" t="str">
        <x:v>Assistant Manager - Production</x:v>
      </x:c>
      <x:c r="F436" s="16" t="str">
        <x:v>Narayanganj Plant</x:v>
      </x:c>
      <x:c r="G436" s="16" t="str">
        <x:v>Permanent</x:v>
      </x:c>
      <x:c r="H436" s="35" t="n">
        <x:v>44522</x:v>
      </x:c>
      <x:c r="I436" s="35"/>
      <x:c r="J436" s="16" t="str"/>
      <x:c r="K436" s="16" t="str">
        <x:f>IF(I436="","Active","Exited")</x:f>
        <x:v>Active</x:v>
      </x:c>
      <x:c r="L436" s="16" t="n">
        <x:f>(YEAR(IF(I436="",TODAY(),I436))-YEAR(H436))*12+MONTH(IF(I436="",TODAY(),I436))-MONTH(H436)</x:f>
        <x:v>56</x:v>
      </x:c>
      <x:c r="M436" s="36" t="n">
        <x:f>DATE(YEAR(H436),MONTH(H436),1)</x:f>
        <x:v>44501</x:v>
      </x:c>
      <x:c r="N436" s="36" t="str">
        <x:f>IF(I436="","",DATE(YEAR(I436),MONTH(I436),1))</x:f>
      </x:c>
    </x:row>
    <x:row r="437">
      <x:c r="A437" s="16" t="str">
        <x:v>HG-01436</x:v>
      </x:c>
      <x:c r="B437" s="16" t="str">
        <x:v>Sabbir Ahmed</x:v>
      </x:c>
      <x:c r="C437" s="16" t="str">
        <x:v>Male</x:v>
      </x:c>
      <x:c r="D437" s="16" t="str">
        <x:v>Quality Assurance</x:v>
      </x:c>
      <x:c r="E437" s="16" t="str">
        <x:v>Compliance Executive</x:v>
      </x:c>
      <x:c r="F437" s="16" t="str">
        <x:v>Chattogram Office</x:v>
      </x:c>
      <x:c r="G437" s="16" t="str">
        <x:v>Permanent</x:v>
      </x:c>
      <x:c r="H437" s="35" t="n">
        <x:v>43512</x:v>
      </x:c>
      <x:c r="I437" s="35"/>
      <x:c r="J437" s="16" t="str"/>
      <x:c r="K437" s="16" t="str">
        <x:f>IF(I437="","Active","Exited")</x:f>
        <x:v>Active</x:v>
      </x:c>
      <x:c r="L437" s="16" t="n">
        <x:f>(YEAR(IF(I437="",TODAY(),I437))-YEAR(H437))*12+MONTH(IF(I437="",TODAY(),I437))-MONTH(H437)</x:f>
        <x:v>89</x:v>
      </x:c>
      <x:c r="M437" s="36" t="n">
        <x:f>DATE(YEAR(H437),MONTH(H437),1)</x:f>
        <x:v>43497</x:v>
      </x:c>
      <x:c r="N437" s="36" t="str">
        <x:f>IF(I437="","",DATE(YEAR(I437),MONTH(I437),1))</x:f>
      </x:c>
    </x:row>
    <x:row r="438">
      <x:c r="A438" s="16" t="str">
        <x:v>HG-01437</x:v>
      </x:c>
      <x:c r="B438" s="16" t="str">
        <x:v>Nayeem Chowdhury</x:v>
      </x:c>
      <x:c r="C438" s="16" t="str">
        <x:v>Male</x:v>
      </x:c>
      <x:c r="D438" s="16" t="str">
        <x:v>Production</x:v>
      </x:c>
      <x:c r="E438" s="16" t="str">
        <x:v>Assistant Manager - Production</x:v>
      </x:c>
      <x:c r="F438" s="16" t="str">
        <x:v>Gazipur Plant</x:v>
      </x:c>
      <x:c r="G438" s="16" t="str">
        <x:v>Permanent</x:v>
      </x:c>
      <x:c r="H438" s="35" t="n">
        <x:v>43535</x:v>
      </x:c>
      <x:c r="I438" s="35" t="n">
        <x:v>45770</x:v>
      </x:c>
      <x:c r="J438" s="16" t="str">
        <x:v>Performance</x:v>
      </x:c>
      <x:c r="K438" s="16" t="str">
        <x:f>IF(I438="","Active","Exited")</x:f>
        <x:v>Exited</x:v>
      </x:c>
      <x:c r="L438" s="16" t="n">
        <x:f>(YEAR(IF(I438="",TODAY(),I438))-YEAR(H438))*12+MONTH(IF(I438="",TODAY(),I438))-MONTH(H438)</x:f>
        <x:v>73</x:v>
      </x:c>
      <x:c r="M438" s="36" t="n">
        <x:f>DATE(YEAR(H438),MONTH(H438),1)</x:f>
        <x:v>43525</x:v>
      </x:c>
      <x:c r="N438" s="36" t="n">
        <x:f>IF(I438="","",DATE(YEAR(I438),MONTH(I438),1))</x:f>
        <x:v>45748</x:v>
      </x:c>
    </x:row>
    <x:row r="439">
      <x:c r="A439" s="16" t="str">
        <x:v>HG-01438</x:v>
      </x:c>
      <x:c r="B439" s="16" t="str">
        <x:v>Mim Hasan</x:v>
      </x:c>
      <x:c r="C439" s="16" t="str">
        <x:v>Female</x:v>
      </x:c>
      <x:c r="D439" s="16" t="str">
        <x:v>Quality Assurance</x:v>
      </x:c>
      <x:c r="E439" s="16" t="str">
        <x:v>QA Officer</x:v>
      </x:c>
      <x:c r="F439" s="16" t="str">
        <x:v>Gazipur Plant</x:v>
      </x:c>
      <x:c r="G439" s="16" t="str">
        <x:v>Permanent</x:v>
      </x:c>
      <x:c r="H439" s="35" t="n">
        <x:v>44120</x:v>
      </x:c>
      <x:c r="I439" s="35"/>
      <x:c r="J439" s="16" t="str"/>
      <x:c r="K439" s="16" t="str">
        <x:f>IF(I439="","Active","Exited")</x:f>
        <x:v>Active</x:v>
      </x:c>
      <x:c r="L439" s="16" t="n">
        <x:f>(YEAR(IF(I439="",TODAY(),I439))-YEAR(H439))*12+MONTH(IF(I439="",TODAY(),I439))-MONTH(H439)</x:f>
        <x:v>69</x:v>
      </x:c>
      <x:c r="M439" s="36" t="n">
        <x:f>DATE(YEAR(H439),MONTH(H439),1)</x:f>
        <x:v>44105</x:v>
      </x:c>
      <x:c r="N439" s="36" t="str">
        <x:f>IF(I439="","",DATE(YEAR(I439),MONTH(I439),1))</x:f>
      </x:c>
    </x:row>
    <x:row r="440">
      <x:c r="A440" s="16" t="str">
        <x:v>HG-01439</x:v>
      </x:c>
      <x:c r="B440" s="16" t="str">
        <x:v>Mehedi Islam</x:v>
      </x:c>
      <x:c r="C440" s="16" t="str">
        <x:v>Male</x:v>
      </x:c>
      <x:c r="D440" s="16" t="str">
        <x:v>Administration</x:v>
      </x:c>
      <x:c r="E440" s="16" t="str">
        <x:v>Assistant Manager - Admin</x:v>
      </x:c>
      <x:c r="F440" s="16" t="str">
        <x:v>Dhaka Head Office</x:v>
      </x:c>
      <x:c r="G440" s="16" t="str">
        <x:v>Permanent</x:v>
      </x:c>
      <x:c r="H440" s="35" t="n">
        <x:v>44512</x:v>
      </x:c>
      <x:c r="I440" s="35"/>
      <x:c r="J440" s="16" t="str"/>
      <x:c r="K440" s="16" t="str">
        <x:f>IF(I440="","Active","Exited")</x:f>
        <x:v>Active</x:v>
      </x:c>
      <x:c r="L440" s="16" t="n">
        <x:f>(YEAR(IF(I440="",TODAY(),I440))-YEAR(H440))*12+MONTH(IF(I440="",TODAY(),I440))-MONTH(H440)</x:f>
        <x:v>56</x:v>
      </x:c>
      <x:c r="M440" s="36" t="n">
        <x:f>DATE(YEAR(H440),MONTH(H440),1)</x:f>
        <x:v>44501</x:v>
      </x:c>
      <x:c r="N440" s="36" t="str">
        <x:f>IF(I440="","",DATE(YEAR(I440),MONTH(I440),1))</x:f>
      </x:c>
    </x:row>
    <x:row r="441">
      <x:c r="A441" s="16" t="str">
        <x:v>HG-01440</x:v>
      </x:c>
      <x:c r="B441" s="16" t="str">
        <x:v>Arif Uddin</x:v>
      </x:c>
      <x:c r="C441" s="16" t="str">
        <x:v>Male</x:v>
      </x:c>
      <x:c r="D441" s="16" t="str">
        <x:v>Production</x:v>
      </x:c>
      <x:c r="E441" s="16" t="str">
        <x:v>Line Supervisor</x:v>
      </x:c>
      <x:c r="F441" s="16" t="str">
        <x:v>Narayanganj Plant</x:v>
      </x:c>
      <x:c r="G441" s="16" t="str">
        <x:v>Permanent</x:v>
      </x:c>
      <x:c r="H441" s="35" t="n">
        <x:v>43449</x:v>
      </x:c>
      <x:c r="I441" s="35" t="n">
        <x:v>45676</x:v>
      </x:c>
      <x:c r="J441" s="16" t="str">
        <x:v>Better Opportunity</x:v>
      </x:c>
      <x:c r="K441" s="16" t="str">
        <x:f>IF(I441="","Active","Exited")</x:f>
        <x:v>Exited</x:v>
      </x:c>
      <x:c r="L441" s="16" t="n">
        <x:f>(YEAR(IF(I441="",TODAY(),I441))-YEAR(H441))*12+MONTH(IF(I441="",TODAY(),I441))-MONTH(H441)</x:f>
        <x:v>73</x:v>
      </x:c>
      <x:c r="M441" s="36" t="n">
        <x:f>DATE(YEAR(H441),MONTH(H441),1)</x:f>
        <x:v>43435</x:v>
      </x:c>
      <x:c r="N441" s="36" t="n">
        <x:f>IF(I441="","",DATE(YEAR(I441),MONTH(I441),1))</x:f>
        <x:v>45658</x:v>
      </x:c>
    </x:row>
    <x:row r="442">
      <x:c r="A442" s="16" t="str">
        <x:v>HG-01441</x:v>
      </x:c>
      <x:c r="B442" s="16" t="str">
        <x:v>Jubayer Begum</x:v>
      </x:c>
      <x:c r="C442" s="16" t="str">
        <x:v>Male</x:v>
      </x:c>
      <x:c r="D442" s="16" t="str">
        <x:v>Information Technology</x:v>
      </x:c>
      <x:c r="E442" s="16" t="str">
        <x:v>Software Executive</x:v>
      </x:c>
      <x:c r="F442" s="16" t="str">
        <x:v>Dhaka Head Office</x:v>
      </x:c>
      <x:c r="G442" s="16" t="str">
        <x:v>Permanent</x:v>
      </x:c>
      <x:c r="H442" s="35" t="n">
        <x:v>45131</x:v>
      </x:c>
      <x:c r="I442" s="35"/>
      <x:c r="J442" s="16" t="str"/>
      <x:c r="K442" s="16" t="str">
        <x:f>IF(I442="","Active","Exited")</x:f>
        <x:v>Active</x:v>
      </x:c>
      <x:c r="L442" s="16" t="n">
        <x:f>(YEAR(IF(I442="",TODAY(),I442))-YEAR(H442))*12+MONTH(IF(I442="",TODAY(),I442))-MONTH(H442)</x:f>
        <x:v>36</x:v>
      </x:c>
      <x:c r="M442" s="36" t="n">
        <x:f>DATE(YEAR(H442),MONTH(H442),1)</x:f>
        <x:v>45108</x:v>
      </x:c>
      <x:c r="N442" s="36" t="str">
        <x:f>IF(I442="","",DATE(YEAR(I442),MONTH(I442),1))</x:f>
      </x:c>
    </x:row>
    <x:row r="443">
      <x:c r="A443" s="16" t="str">
        <x:v>HG-01442</x:v>
      </x:c>
      <x:c r="B443" s="16" t="str">
        <x:v>Fahim Miah</x:v>
      </x:c>
      <x:c r="C443" s="16" t="str">
        <x:v>Male</x:v>
      </x:c>
      <x:c r="D443" s="16" t="str">
        <x:v>Supply Chain</x:v>
      </x:c>
      <x:c r="E443" s="16" t="str">
        <x:v>Assistant Manager - Supply Chain</x:v>
      </x:c>
      <x:c r="F443" s="16" t="str">
        <x:v>Gazipur Plant</x:v>
      </x:c>
      <x:c r="G443" s="16" t="str">
        <x:v>Permanent</x:v>
      </x:c>
      <x:c r="H443" s="35" t="n">
        <x:v>44350</x:v>
      </x:c>
      <x:c r="I443" s="35"/>
      <x:c r="J443" s="16" t="str"/>
      <x:c r="K443" s="16" t="str">
        <x:f>IF(I443="","Active","Exited")</x:f>
        <x:v>Active</x:v>
      </x:c>
      <x:c r="L443" s="16" t="n">
        <x:f>(YEAR(IF(I443="",TODAY(),I443))-YEAR(H443))*12+MONTH(IF(I443="",TODAY(),I443))-MONTH(H443)</x:f>
        <x:v>61</x:v>
      </x:c>
      <x:c r="M443" s="36" t="n">
        <x:f>DATE(YEAR(H443),MONTH(H443),1)</x:f>
        <x:v>44348</x:v>
      </x:c>
      <x:c r="N443" s="36" t="str">
        <x:f>IF(I443="","",DATE(YEAR(I443),MONTH(I443),1))</x:f>
      </x:c>
    </x:row>
    <x:row r="444">
      <x:c r="A444" s="16" t="str">
        <x:v>HG-01443</x:v>
      </x:c>
      <x:c r="B444" s="16" t="str">
        <x:v>Tanvir Islam</x:v>
      </x:c>
      <x:c r="C444" s="16" t="str">
        <x:v>Male</x:v>
      </x:c>
      <x:c r="D444" s="16" t="str">
        <x:v>Quality Assurance</x:v>
      </x:c>
      <x:c r="E444" s="16" t="str">
        <x:v>Quality Inspector</x:v>
      </x:c>
      <x:c r="F444" s="16" t="str">
        <x:v>Gazipur Plant</x:v>
      </x:c>
      <x:c r="G444" s="16" t="str">
        <x:v>Permanent</x:v>
      </x:c>
      <x:c r="H444" s="35" t="n">
        <x:v>43036</x:v>
      </x:c>
      <x:c r="I444" s="35" t="n">
        <x:v>45893</x:v>
      </x:c>
      <x:c r="J444" s="16" t="str">
        <x:v>Work-Life Balance</x:v>
      </x:c>
      <x:c r="K444" s="16" t="str">
        <x:f>IF(I444="","Active","Exited")</x:f>
        <x:v>Exited</x:v>
      </x:c>
      <x:c r="L444" s="16" t="n">
        <x:f>(YEAR(IF(I444="",TODAY(),I444))-YEAR(H444))*12+MONTH(IF(I444="",TODAY(),I444))-MONTH(H444)</x:f>
        <x:v>94</x:v>
      </x:c>
      <x:c r="M444" s="36" t="n">
        <x:f>DATE(YEAR(H444),MONTH(H444),1)</x:f>
        <x:v>43009</x:v>
      </x:c>
      <x:c r="N444" s="36" t="n">
        <x:f>IF(I444="","",DATE(YEAR(I444),MONTH(I444),1))</x:f>
        <x:v>45870</x:v>
      </x:c>
    </x:row>
    <x:row r="445">
      <x:c r="A445" s="16" t="str">
        <x:v>HG-01444</x:v>
      </x:c>
      <x:c r="B445" s="16" t="str">
        <x:v>Mim Alam</x:v>
      </x:c>
      <x:c r="C445" s="16" t="str">
        <x:v>Female</x:v>
      </x:c>
      <x:c r="D445" s="16" t="str">
        <x:v>Sales &amp; Marketing</x:v>
      </x:c>
      <x:c r="E445" s="16" t="str">
        <x:v>Sales Executive</x:v>
      </x:c>
      <x:c r="F445" s="16" t="str">
        <x:v>Gazipur Plant</x:v>
      </x:c>
      <x:c r="G445" s="16" t="str">
        <x:v>Permanent</x:v>
      </x:c>
      <x:c r="H445" s="35" t="n">
        <x:v>45303</x:v>
      </x:c>
      <x:c r="I445" s="35"/>
      <x:c r="J445" s="16" t="str"/>
      <x:c r="K445" s="16" t="str">
        <x:f>IF(I445="","Active","Exited")</x:f>
        <x:v>Active</x:v>
      </x:c>
      <x:c r="L445" s="16" t="n">
        <x:f>(YEAR(IF(I445="",TODAY(),I445))-YEAR(H445))*12+MONTH(IF(I445="",TODAY(),I445))-MONTH(H445)</x:f>
        <x:v>30</x:v>
      </x:c>
      <x:c r="M445" s="36" t="n">
        <x:f>DATE(YEAR(H445),MONTH(H445),1)</x:f>
        <x:v>45292</x:v>
      </x:c>
      <x:c r="N445" s="36" t="str">
        <x:f>IF(I445="","",DATE(YEAR(I445),MONTH(I445),1))</x:f>
      </x:c>
    </x:row>
    <x:row r="446">
      <x:c r="A446" s="16" t="str">
        <x:v>HG-01445</x:v>
      </x:c>
      <x:c r="B446" s="16" t="str">
        <x:v>Nusrat Hasan</x:v>
      </x:c>
      <x:c r="C446" s="16" t="str">
        <x:v>Female</x:v>
      </x:c>
      <x:c r="D446" s="16" t="str">
        <x:v>Administration</x:v>
      </x:c>
      <x:c r="E446" s="16" t="str">
        <x:v>Assistant Manager - Admin</x:v>
      </x:c>
      <x:c r="F446" s="16" t="str">
        <x:v>Dhaka Head Office</x:v>
      </x:c>
      <x:c r="G446" s="16" t="str">
        <x:v>Probation</x:v>
      </x:c>
      <x:c r="H446" s="35" t="n">
        <x:v>44227</x:v>
      </x:c>
      <x:c r="I446" s="35" t="n">
        <x:v>45778</x:v>
      </x:c>
      <x:c r="J446" s="16" t="str">
        <x:v>Compensation &amp; Benefits</x:v>
      </x:c>
      <x:c r="K446" s="16" t="str">
        <x:f>IF(I446="","Active","Exited")</x:f>
        <x:v>Exited</x:v>
      </x:c>
      <x:c r="L446" s="16" t="n">
        <x:f>(YEAR(IF(I446="",TODAY(),I446))-YEAR(H446))*12+MONTH(IF(I446="",TODAY(),I446))-MONTH(H446)</x:f>
        <x:v>52</x:v>
      </x:c>
      <x:c r="M446" s="36" t="n">
        <x:f>DATE(YEAR(H446),MONTH(H446),1)</x:f>
        <x:v>44197</x:v>
      </x:c>
      <x:c r="N446" s="36" t="n">
        <x:f>IF(I446="","",DATE(YEAR(I446),MONTH(I446),1))</x:f>
        <x:v>45778</x:v>
      </x:c>
    </x:row>
    <x:row r="447">
      <x:c r="A447" s="16" t="str">
        <x:v>HG-01446</x:v>
      </x:c>
      <x:c r="B447" s="16" t="str">
        <x:v>Farhan Khan</x:v>
      </x:c>
      <x:c r="C447" s="16" t="str">
        <x:v>Male</x:v>
      </x:c>
      <x:c r="D447" s="16" t="str">
        <x:v>Information Technology</x:v>
      </x:c>
      <x:c r="E447" s="16" t="str">
        <x:v>Software Executive</x:v>
      </x:c>
      <x:c r="F447" s="16" t="str">
        <x:v>Dhaka Head Office</x:v>
      </x:c>
      <x:c r="G447" s="16" t="str">
        <x:v>Permanent</x:v>
      </x:c>
      <x:c r="H447" s="35" t="n">
        <x:v>43125</x:v>
      </x:c>
      <x:c r="I447" s="35"/>
      <x:c r="J447" s="16" t="str"/>
      <x:c r="K447" s="16" t="str">
        <x:f>IF(I447="","Active","Exited")</x:f>
        <x:v>Active</x:v>
      </x:c>
      <x:c r="L447" s="16" t="n">
        <x:f>(YEAR(IF(I447="",TODAY(),I447))-YEAR(H447))*12+MONTH(IF(I447="",TODAY(),I447))-MONTH(H447)</x:f>
        <x:v>102</x:v>
      </x:c>
      <x:c r="M447" s="36" t="n">
        <x:f>DATE(YEAR(H447),MONTH(H447),1)</x:f>
        <x:v>43101</x:v>
      </x:c>
      <x:c r="N447" s="36" t="str">
        <x:f>IF(I447="","",DATE(YEAR(I447),MONTH(I447),1))</x:f>
      </x:c>
    </x:row>
    <x:row r="448">
      <x:c r="A448" s="16" t="str">
        <x:v>HG-01447</x:v>
      </x:c>
      <x:c r="B448" s="16" t="str">
        <x:v>Hasan Karim</x:v>
      </x:c>
      <x:c r="C448" s="16" t="str">
        <x:v>Male</x:v>
      </x:c>
      <x:c r="D448" s="16" t="str">
        <x:v>Production</x:v>
      </x:c>
      <x:c r="E448" s="16" t="str">
        <x:v>Production Operator</x:v>
      </x:c>
      <x:c r="F448" s="16" t="str">
        <x:v>Gazipur Plant</x:v>
      </x:c>
      <x:c r="G448" s="16" t="str">
        <x:v>Permanent</x:v>
      </x:c>
      <x:c r="H448" s="35" t="n">
        <x:v>43274</x:v>
      </x:c>
      <x:c r="I448" s="35"/>
      <x:c r="J448" s="16" t="str"/>
      <x:c r="K448" s="16" t="str">
        <x:f>IF(I448="","Active","Exited")</x:f>
        <x:v>Active</x:v>
      </x:c>
      <x:c r="L448" s="16" t="n">
        <x:f>(YEAR(IF(I448="",TODAY(),I448))-YEAR(H448))*12+MONTH(IF(I448="",TODAY(),I448))-MONTH(H448)</x:f>
        <x:v>97</x:v>
      </x:c>
      <x:c r="M448" s="36" t="n">
        <x:f>DATE(YEAR(H448),MONTH(H448),1)</x:f>
        <x:v>43252</x:v>
      </x:c>
      <x:c r="N448" s="36" t="str">
        <x:f>IF(I448="","",DATE(YEAR(I448),MONTH(I448),1))</x:f>
      </x:c>
    </x:row>
    <x:row r="449">
      <x:c r="A449" s="16" t="str">
        <x:v>HG-01448</x:v>
      </x:c>
      <x:c r="B449" s="16" t="str">
        <x:v>Sajid Chowdhury</x:v>
      </x:c>
      <x:c r="C449" s="16" t="str">
        <x:v>Male</x:v>
      </x:c>
      <x:c r="D449" s="16" t="str">
        <x:v>Supply Chain</x:v>
      </x:c>
      <x:c r="E449" s="16" t="str">
        <x:v>Logistics Executive</x:v>
      </x:c>
      <x:c r="F449" s="16" t="str">
        <x:v>Gazipur Plant</x:v>
      </x:c>
      <x:c r="G449" s="16" t="str">
        <x:v>Permanent</x:v>
      </x:c>
      <x:c r="H449" s="35" t="n">
        <x:v>42790</x:v>
      </x:c>
      <x:c r="I449" s="35"/>
      <x:c r="J449" s="16" t="str"/>
      <x:c r="K449" s="16" t="str">
        <x:f>IF(I449="","Active","Exited")</x:f>
        <x:v>Active</x:v>
      </x:c>
      <x:c r="L449" s="16" t="n">
        <x:f>(YEAR(IF(I449="",TODAY(),I449))-YEAR(H449))*12+MONTH(IF(I449="",TODAY(),I449))-MONTH(H449)</x:f>
        <x:v>113</x:v>
      </x:c>
      <x:c r="M449" s="36" t="n">
        <x:f>DATE(YEAR(H449),MONTH(H449),1)</x:f>
        <x:v>42767</x:v>
      </x:c>
      <x:c r="N449" s="36" t="str">
        <x:f>IF(I449="","",DATE(YEAR(I449),MONTH(I449),1))</x:f>
      </x:c>
    </x:row>
    <x:row r="450">
      <x:c r="A450" s="16" t="str">
        <x:v>HG-01449</x:v>
      </x:c>
      <x:c r="B450" s="16" t="str">
        <x:v>Arif Karim</x:v>
      </x:c>
      <x:c r="C450" s="16" t="str">
        <x:v>Male</x:v>
      </x:c>
      <x:c r="D450" s="16" t="str">
        <x:v>Supply Chain</x:v>
      </x:c>
      <x:c r="E450" s="16" t="str">
        <x:v>Inventory Officer</x:v>
      </x:c>
      <x:c r="F450" s="16" t="str">
        <x:v>Gazipur Plant</x:v>
      </x:c>
      <x:c r="G450" s="16" t="str">
        <x:v>Contract</x:v>
      </x:c>
      <x:c r="H450" s="35" t="n">
        <x:v>45558</x:v>
      </x:c>
      <x:c r="I450" s="35" t="n">
        <x:v>45764</x:v>
      </x:c>
      <x:c r="J450" s="16" t="str">
        <x:v>Better Opportunity</x:v>
      </x:c>
      <x:c r="K450" s="16" t="str">
        <x:f>IF(I450="","Active","Exited")</x:f>
        <x:v>Exited</x:v>
      </x:c>
      <x:c r="L450" s="16" t="n">
        <x:f>(YEAR(IF(I450="",TODAY(),I450))-YEAR(H450))*12+MONTH(IF(I450="",TODAY(),I450))-MONTH(H450)</x:f>
        <x:v>7</x:v>
      </x:c>
      <x:c r="M450" s="36" t="n">
        <x:f>DATE(YEAR(H450),MONTH(H450),1)</x:f>
        <x:v>45536</x:v>
      </x:c>
      <x:c r="N450" s="36" t="n">
        <x:f>IF(I450="","",DATE(YEAR(I450),MONTH(I450),1))</x:f>
        <x:v>45748</x:v>
      </x:c>
    </x:row>
    <x:row r="451">
      <x:c r="A451" s="16" t="str">
        <x:v>HG-01450</x:v>
      </x:c>
      <x:c r="B451" s="16" t="str">
        <x:v>Tanvir Khan</x:v>
      </x:c>
      <x:c r="C451" s="16" t="str">
        <x:v>Male</x:v>
      </x:c>
      <x:c r="D451" s="16" t="str">
        <x:v>Production</x:v>
      </x:c>
      <x:c r="E451" s="16" t="str">
        <x:v>Assistant Manager - Production</x:v>
      </x:c>
      <x:c r="F451" s="16" t="str">
        <x:v>Gazipur Plant</x:v>
      </x:c>
      <x:c r="G451" s="16" t="str">
        <x:v>Contract</x:v>
      </x:c>
      <x:c r="H451" s="35" t="n">
        <x:v>45487</x:v>
      </x:c>
      <x:c r="I451" s="35"/>
      <x:c r="J451" s="16" t="str"/>
      <x:c r="K451" s="16" t="str">
        <x:f>IF(I451="","Active","Exited")</x:f>
        <x:v>Active</x:v>
      </x:c>
      <x:c r="L451" s="16" t="n">
        <x:f>(YEAR(IF(I451="",TODAY(),I451))-YEAR(H451))*12+MONTH(IF(I451="",TODAY(),I451))-MONTH(H451)</x:f>
        <x:v>24</x:v>
      </x:c>
      <x:c r="M451" s="36" t="n">
        <x:f>DATE(YEAR(H451),MONTH(H451),1)</x:f>
        <x:v>45474</x:v>
      </x:c>
      <x:c r="N451" s="36" t="str">
        <x:f>IF(I451="","",DATE(YEAR(I451),MONTH(I451),1))</x:f>
      </x:c>
    </x:row>
    <x:row r="452">
      <x:c r="A452" s="16" t="str">
        <x:v>HG-01451</x:v>
      </x:c>
      <x:c r="B452" s="16" t="str">
        <x:v>Foysal Karim</x:v>
      </x:c>
      <x:c r="C452" s="16" t="str">
        <x:v>Male</x:v>
      </x:c>
      <x:c r="D452" s="16" t="str">
        <x:v>Information Technology</x:v>
      </x:c>
      <x:c r="E452" s="16" t="str">
        <x:v>IT Support Executive</x:v>
      </x:c>
      <x:c r="F452" s="16" t="str">
        <x:v>Dhaka Head Office</x:v>
      </x:c>
      <x:c r="G452" s="16" t="str">
        <x:v>Permanent</x:v>
      </x:c>
      <x:c r="H452" s="35" t="n">
        <x:v>45415</x:v>
      </x:c>
      <x:c r="I452" s="35"/>
      <x:c r="J452" s="16" t="str"/>
      <x:c r="K452" s="16" t="str">
        <x:f>IF(I452="","Active","Exited")</x:f>
        <x:v>Active</x:v>
      </x:c>
      <x:c r="L452" s="16" t="n">
        <x:f>(YEAR(IF(I452="",TODAY(),I452))-YEAR(H452))*12+MONTH(IF(I452="",TODAY(),I452))-MONTH(H452)</x:f>
        <x:v>26</x:v>
      </x:c>
      <x:c r="M452" s="36" t="n">
        <x:f>DATE(YEAR(H452),MONTH(H452),1)</x:f>
        <x:v>45413</x:v>
      </x:c>
      <x:c r="N452" s="36" t="str">
        <x:f>IF(I452="","",DATE(YEAR(I452),MONTH(I452),1))</x:f>
      </x:c>
    </x:row>
    <x:row r="453">
      <x:c r="A453" s="16" t="str">
        <x:v>HG-01452</x:v>
      </x:c>
      <x:c r="B453" s="16" t="str">
        <x:v>Farhan Sarker</x:v>
      </x:c>
      <x:c r="C453" s="16" t="str">
        <x:v>Male</x:v>
      </x:c>
      <x:c r="D453" s="16" t="str">
        <x:v>Supply Chain</x:v>
      </x:c>
      <x:c r="E453" s="16" t="str">
        <x:v>Senior Supply Chain Executive</x:v>
      </x:c>
      <x:c r="F453" s="16" t="str">
        <x:v>Narayanganj Plant</x:v>
      </x:c>
      <x:c r="G453" s="16" t="str">
        <x:v>Permanent</x:v>
      </x:c>
      <x:c r="H453" s="35" t="n">
        <x:v>45540</x:v>
      </x:c>
      <x:c r="I453" s="35"/>
      <x:c r="J453" s="16" t="str"/>
      <x:c r="K453" s="16" t="str">
        <x:f>IF(I453="","Active","Exited")</x:f>
        <x:v>Active</x:v>
      </x:c>
      <x:c r="L453" s="16" t="n">
        <x:f>(YEAR(IF(I453="",TODAY(),I453))-YEAR(H453))*12+MONTH(IF(I453="",TODAY(),I453))-MONTH(H453)</x:f>
        <x:v>22</x:v>
      </x:c>
      <x:c r="M453" s="36" t="n">
        <x:f>DATE(YEAR(H453),MONTH(H453),1)</x:f>
        <x:v>45536</x:v>
      </x:c>
      <x:c r="N453" s="36" t="str">
        <x:f>IF(I453="","",DATE(YEAR(I453),MONTH(I453),1))</x:f>
      </x:c>
    </x:row>
    <x:row r="454">
      <x:c r="A454" s="16" t="str">
        <x:v>HG-01453</x:v>
      </x:c>
      <x:c r="B454" s="16" t="str">
        <x:v>Nabila Chowdhury</x:v>
      </x:c>
      <x:c r="C454" s="16" t="str">
        <x:v>Female</x:v>
      </x:c>
      <x:c r="D454" s="16" t="str">
        <x:v>Production</x:v>
      </x:c>
      <x:c r="E454" s="16" t="str">
        <x:v>Production Officer</x:v>
      </x:c>
      <x:c r="F454" s="16" t="str">
        <x:v>Gazipur Plant</x:v>
      </x:c>
      <x:c r="G454" s="16" t="str">
        <x:v>Permanent</x:v>
      </x:c>
      <x:c r="H454" s="35" t="n">
        <x:v>45299</x:v>
      </x:c>
      <x:c r="I454" s="35"/>
      <x:c r="J454" s="16" t="str"/>
      <x:c r="K454" s="16" t="str">
        <x:f>IF(I454="","Active","Exited")</x:f>
        <x:v>Active</x:v>
      </x:c>
      <x:c r="L454" s="16" t="n">
        <x:f>(YEAR(IF(I454="",TODAY(),I454))-YEAR(H454))*12+MONTH(IF(I454="",TODAY(),I454))-MONTH(H454)</x:f>
        <x:v>30</x:v>
      </x:c>
      <x:c r="M454" s="36" t="n">
        <x:f>DATE(YEAR(H454),MONTH(H454),1)</x:f>
        <x:v>45292</x:v>
      </x:c>
      <x:c r="N454" s="36" t="str">
        <x:f>IF(I454="","",DATE(YEAR(I454),MONTH(I454),1))</x:f>
      </x:c>
    </x:row>
    <x:row r="455">
      <x:c r="A455" s="16" t="str">
        <x:v>HG-01454</x:v>
      </x:c>
      <x:c r="B455" s="16" t="str">
        <x:v>Nazmul Khan</x:v>
      </x:c>
      <x:c r="C455" s="16" t="str">
        <x:v>Male</x:v>
      </x:c>
      <x:c r="D455" s="16" t="str">
        <x:v>Supply Chain</x:v>
      </x:c>
      <x:c r="E455" s="16" t="str">
        <x:v>Inventory Officer</x:v>
      </x:c>
      <x:c r="F455" s="16" t="str">
        <x:v>Chattogram Office</x:v>
      </x:c>
      <x:c r="G455" s="16" t="str">
        <x:v>Permanent</x:v>
      </x:c>
      <x:c r="H455" s="35" t="n">
        <x:v>43641</x:v>
      </x:c>
      <x:c r="I455" s="35"/>
      <x:c r="J455" s="16" t="str"/>
      <x:c r="K455" s="16" t="str">
        <x:f>IF(I455="","Active","Exited")</x:f>
        <x:v>Active</x:v>
      </x:c>
      <x:c r="L455" s="16" t="n">
        <x:f>(YEAR(IF(I455="",TODAY(),I455))-YEAR(H455))*12+MONTH(IF(I455="",TODAY(),I455))-MONTH(H455)</x:f>
        <x:v>85</x:v>
      </x:c>
      <x:c r="M455" s="36" t="n">
        <x:f>DATE(YEAR(H455),MONTH(H455),1)</x:f>
        <x:v>43617</x:v>
      </x:c>
      <x:c r="N455" s="36" t="str">
        <x:f>IF(I455="","",DATE(YEAR(I455),MONTH(I455),1))</x:f>
      </x:c>
    </x:row>
    <x:row r="456">
      <x:c r="A456" s="16" t="str">
        <x:v>HG-01455</x:v>
      </x:c>
      <x:c r="B456" s="16" t="str">
        <x:v>Farhan Rahman</x:v>
      </x:c>
      <x:c r="C456" s="16" t="str">
        <x:v>Male</x:v>
      </x:c>
      <x:c r="D456" s="16" t="str">
        <x:v>Production</x:v>
      </x:c>
      <x:c r="E456" s="16" t="str">
        <x:v>Line Supervisor</x:v>
      </x:c>
      <x:c r="F456" s="16" t="str">
        <x:v>Gazipur Plant</x:v>
      </x:c>
      <x:c r="G456" s="16" t="str">
        <x:v>Permanent</x:v>
      </x:c>
      <x:c r="H456" s="35" t="n">
        <x:v>42751</x:v>
      </x:c>
      <x:c r="I456" s="35"/>
      <x:c r="J456" s="16" t="str"/>
      <x:c r="K456" s="16" t="str">
        <x:f>IF(I456="","Active","Exited")</x:f>
        <x:v>Active</x:v>
      </x:c>
      <x:c r="L456" s="16" t="n">
        <x:f>(YEAR(IF(I456="",TODAY(),I456))-YEAR(H456))*12+MONTH(IF(I456="",TODAY(),I456))-MONTH(H456)</x:f>
        <x:v>114</x:v>
      </x:c>
      <x:c r="M456" s="36" t="n">
        <x:f>DATE(YEAR(H456),MONTH(H456),1)</x:f>
        <x:v>42736</x:v>
      </x:c>
      <x:c r="N456" s="36" t="str">
        <x:f>IF(I456="","",DATE(YEAR(I456),MONTH(I456),1))</x:f>
      </x:c>
    </x:row>
    <x:row r="457">
      <x:c r="A457" s="16" t="str">
        <x:v>HG-01456</x:v>
      </x:c>
      <x:c r="B457" s="16" t="str">
        <x:v>Rafi Hossain</x:v>
      </x:c>
      <x:c r="C457" s="16" t="str">
        <x:v>Male</x:v>
      </x:c>
      <x:c r="D457" s="16" t="str">
        <x:v>Supply Chain</x:v>
      </x:c>
      <x:c r="E457" s="16" t="str">
        <x:v>Inventory Officer</x:v>
      </x:c>
      <x:c r="F457" s="16" t="str">
        <x:v>Gazipur Plant</x:v>
      </x:c>
      <x:c r="G457" s="16" t="str">
        <x:v>Permanent</x:v>
      </x:c>
      <x:c r="H457" s="35" t="n">
        <x:v>44497</x:v>
      </x:c>
      <x:c r="I457" s="35"/>
      <x:c r="J457" s="16" t="str"/>
      <x:c r="K457" s="16" t="str">
        <x:f>IF(I457="","Active","Exited")</x:f>
        <x:v>Active</x:v>
      </x:c>
      <x:c r="L457" s="16" t="n">
        <x:f>(YEAR(IF(I457="",TODAY(),I457))-YEAR(H457))*12+MONTH(IF(I457="",TODAY(),I457))-MONTH(H457)</x:f>
        <x:v>57</x:v>
      </x:c>
      <x:c r="M457" s="36" t="n">
        <x:f>DATE(YEAR(H457),MONTH(H457),1)</x:f>
        <x:v>44470</x:v>
      </x:c>
      <x:c r="N457" s="36" t="str">
        <x:f>IF(I457="","",DATE(YEAR(I457),MONTH(I457),1))</x:f>
      </x:c>
    </x:row>
    <x:row r="458">
      <x:c r="A458" s="16" t="str">
        <x:v>HG-01457</x:v>
      </x:c>
      <x:c r="B458" s="16" t="str">
        <x:v>Rakib Islam</x:v>
      </x:c>
      <x:c r="C458" s="16" t="str">
        <x:v>Male</x:v>
      </x:c>
      <x:c r="D458" s="16" t="str">
        <x:v>Production</x:v>
      </x:c>
      <x:c r="E458" s="16" t="str">
        <x:v>Production Officer</x:v>
      </x:c>
      <x:c r="F458" s="16" t="str">
        <x:v>Narayanganj Plant</x:v>
      </x:c>
      <x:c r="G458" s="16" t="str">
        <x:v>Permanent</x:v>
      </x:c>
      <x:c r="H458" s="35" t="n">
        <x:v>44216</x:v>
      </x:c>
      <x:c r="I458" s="35"/>
      <x:c r="J458" s="16" t="str"/>
      <x:c r="K458" s="16" t="str">
        <x:f>IF(I458="","Active","Exited")</x:f>
        <x:v>Active</x:v>
      </x:c>
      <x:c r="L458" s="16" t="n">
        <x:f>(YEAR(IF(I458="",TODAY(),I458))-YEAR(H458))*12+MONTH(IF(I458="",TODAY(),I458))-MONTH(H458)</x:f>
        <x:v>66</x:v>
      </x:c>
      <x:c r="M458" s="36" t="n">
        <x:f>DATE(YEAR(H458),MONTH(H458),1)</x:f>
        <x:v>44197</x:v>
      </x:c>
      <x:c r="N458" s="36" t="str">
        <x:f>IF(I458="","",DATE(YEAR(I458),MONTH(I458),1))</x:f>
      </x:c>
    </x:row>
    <x:row r="459">
      <x:c r="A459" s="16" t="str">
        <x:v>HG-01458</x:v>
      </x:c>
      <x:c r="B459" s="16" t="str">
        <x:v>Mahmud Chowdhury</x:v>
      </x:c>
      <x:c r="C459" s="16" t="str">
        <x:v>Male</x:v>
      </x:c>
      <x:c r="D459" s="16" t="str">
        <x:v>Production</x:v>
      </x:c>
      <x:c r="E459" s="16" t="str">
        <x:v>Senior Operator</x:v>
      </x:c>
      <x:c r="F459" s="16" t="str">
        <x:v>Gazipur Plant</x:v>
      </x:c>
      <x:c r="G459" s="16" t="str">
        <x:v>Permanent</x:v>
      </x:c>
      <x:c r="H459" s="35" t="n">
        <x:v>43669</x:v>
      </x:c>
      <x:c r="I459" s="35" t="n">
        <x:v>45788</x:v>
      </x:c>
      <x:c r="J459" s="16" t="str">
        <x:v>Better Opportunity</x:v>
      </x:c>
      <x:c r="K459" s="16" t="str">
        <x:f>IF(I459="","Active","Exited")</x:f>
        <x:v>Exited</x:v>
      </x:c>
      <x:c r="L459" s="16" t="n">
        <x:f>(YEAR(IF(I459="",TODAY(),I459))-YEAR(H459))*12+MONTH(IF(I459="",TODAY(),I459))-MONTH(H459)</x:f>
        <x:v>70</x:v>
      </x:c>
      <x:c r="M459" s="36" t="n">
        <x:f>DATE(YEAR(H459),MONTH(H459),1)</x:f>
        <x:v>43647</x:v>
      </x:c>
      <x:c r="N459" s="36" t="n">
        <x:f>IF(I459="","",DATE(YEAR(I459),MONTH(I459),1))</x:f>
        <x:v>45778</x:v>
      </x:c>
    </x:row>
    <x:row r="460">
      <x:c r="A460" s="16" t="str">
        <x:v>HG-01459</x:v>
      </x:c>
      <x:c r="B460" s="16" t="str">
        <x:v>Imran Alam</x:v>
      </x:c>
      <x:c r="C460" s="16" t="str">
        <x:v>Male</x:v>
      </x:c>
      <x:c r="D460" s="16" t="str">
        <x:v>Production</x:v>
      </x:c>
      <x:c r="E460" s="16" t="str">
        <x:v>Senior Operator</x:v>
      </x:c>
      <x:c r="F460" s="16" t="str">
        <x:v>Gazipur Plant</x:v>
      </x:c>
      <x:c r="G460" s="16" t="str">
        <x:v>Permanent</x:v>
      </x:c>
      <x:c r="H460" s="35" t="n">
        <x:v>44507</x:v>
      </x:c>
      <x:c r="I460" s="35" t="n">
        <x:v>45914</x:v>
      </x:c>
      <x:c r="J460" s="16" t="str">
        <x:v>Performance</x:v>
      </x:c>
      <x:c r="K460" s="16" t="str">
        <x:f>IF(I460="","Active","Exited")</x:f>
        <x:v>Exited</x:v>
      </x:c>
      <x:c r="L460" s="16" t="n">
        <x:f>(YEAR(IF(I460="",TODAY(),I460))-YEAR(H460))*12+MONTH(IF(I460="",TODAY(),I460))-MONTH(H460)</x:f>
        <x:v>46</x:v>
      </x:c>
      <x:c r="M460" s="36" t="n">
        <x:f>DATE(YEAR(H460),MONTH(H460),1)</x:f>
        <x:v>44501</x:v>
      </x:c>
      <x:c r="N460" s="36" t="n">
        <x:f>IF(I460="","",DATE(YEAR(I460),MONTH(I460),1))</x:f>
        <x:v>45901</x:v>
      </x:c>
    </x:row>
    <x:row r="461">
      <x:c r="A461" s="16" t="str">
        <x:v>HG-01460</x:v>
      </x:c>
      <x:c r="B461" s="16" t="str">
        <x:v>Foysal Begum</x:v>
      </x:c>
      <x:c r="C461" s="16" t="str">
        <x:v>Male</x:v>
      </x:c>
      <x:c r="D461" s="16" t="str">
        <x:v>Supply Chain</x:v>
      </x:c>
      <x:c r="E461" s="16" t="str">
        <x:v>Procurement Executive</x:v>
      </x:c>
      <x:c r="F461" s="16" t="str">
        <x:v>Gazipur Plant</x:v>
      </x:c>
      <x:c r="G461" s="16" t="str">
        <x:v>Permanent</x:v>
      </x:c>
      <x:c r="H461" s="35" t="n">
        <x:v>45621</x:v>
      </x:c>
      <x:c r="I461" s="35"/>
      <x:c r="J461" s="16" t="str"/>
      <x:c r="K461" s="16" t="str">
        <x:f>IF(I461="","Active","Exited")</x:f>
        <x:v>Active</x:v>
      </x:c>
      <x:c r="L461" s="16" t="n">
        <x:f>(YEAR(IF(I461="",TODAY(),I461))-YEAR(H461))*12+MONTH(IF(I461="",TODAY(),I461))-MONTH(H461)</x:f>
        <x:v>20</x:v>
      </x:c>
      <x:c r="M461" s="36" t="n">
        <x:f>DATE(YEAR(H461),MONTH(H461),1)</x:f>
        <x:v>45597</x:v>
      </x:c>
      <x:c r="N461" s="36" t="str">
        <x:f>IF(I461="","",DATE(YEAR(I461),MONTH(I461),1))</x:f>
      </x:c>
    </x:row>
    <x:row r="462">
      <x:c r="A462" s="16" t="str">
        <x:v>HG-01461</x:v>
      </x:c>
      <x:c r="B462" s="16" t="str">
        <x:v>Mizan Karim</x:v>
      </x:c>
      <x:c r="C462" s="16" t="str">
        <x:v>Male</x:v>
      </x:c>
      <x:c r="D462" s="16" t="str">
        <x:v>Supply Chain</x:v>
      </x:c>
      <x:c r="E462" s="16" t="str">
        <x:v>Inventory Officer</x:v>
      </x:c>
      <x:c r="F462" s="16" t="str">
        <x:v>Gazipur Plant</x:v>
      </x:c>
      <x:c r="G462" s="16" t="str">
        <x:v>Permanent</x:v>
      </x:c>
      <x:c r="H462" s="35" t="n">
        <x:v>45286</x:v>
      </x:c>
      <x:c r="I462" s="35" t="n">
        <x:v>45711</x:v>
      </x:c>
      <x:c r="J462" s="16" t="str">
        <x:v>Better Opportunity</x:v>
      </x:c>
      <x:c r="K462" s="16" t="str">
        <x:f>IF(I462="","Active","Exited")</x:f>
        <x:v>Exited</x:v>
      </x:c>
      <x:c r="L462" s="16" t="n">
        <x:f>(YEAR(IF(I462="",TODAY(),I462))-YEAR(H462))*12+MONTH(IF(I462="",TODAY(),I462))-MONTH(H462)</x:f>
        <x:v>14</x:v>
      </x:c>
      <x:c r="M462" s="36" t="n">
        <x:f>DATE(YEAR(H462),MONTH(H462),1)</x:f>
        <x:v>45261</x:v>
      </x:c>
      <x:c r="N462" s="36" t="n">
        <x:f>IF(I462="","",DATE(YEAR(I462),MONTH(I462),1))</x:f>
        <x:v>45689</x:v>
      </x:c>
    </x:row>
    <x:row r="463">
      <x:c r="A463" s="16" t="str">
        <x:v>HG-01462</x:v>
      </x:c>
      <x:c r="B463" s="16" t="str">
        <x:v>Foysal Alam</x:v>
      </x:c>
      <x:c r="C463" s="16" t="str">
        <x:v>Male</x:v>
      </x:c>
      <x:c r="D463" s="16" t="str">
        <x:v>Production</x:v>
      </x:c>
      <x:c r="E463" s="16" t="str">
        <x:v>Senior Operator</x:v>
      </x:c>
      <x:c r="F463" s="16" t="str">
        <x:v>Gazipur Plant</x:v>
      </x:c>
      <x:c r="G463" s="16" t="str">
        <x:v>Permanent</x:v>
      </x:c>
      <x:c r="H463" s="35" t="n">
        <x:v>43227</x:v>
      </x:c>
      <x:c r="I463" s="35"/>
      <x:c r="J463" s="16" t="str"/>
      <x:c r="K463" s="16" t="str">
        <x:f>IF(I463="","Active","Exited")</x:f>
        <x:v>Active</x:v>
      </x:c>
      <x:c r="L463" s="16" t="n">
        <x:f>(YEAR(IF(I463="",TODAY(),I463))-YEAR(H463))*12+MONTH(IF(I463="",TODAY(),I463))-MONTH(H463)</x:f>
        <x:v>98</x:v>
      </x:c>
      <x:c r="M463" s="36" t="n">
        <x:f>DATE(YEAR(H463),MONTH(H463),1)</x:f>
        <x:v>43221</x:v>
      </x:c>
      <x:c r="N463" s="36" t="str">
        <x:f>IF(I463="","",DATE(YEAR(I463),MONTH(I463),1))</x:f>
      </x:c>
    </x:row>
    <x:row r="464">
      <x:c r="A464" s="16" t="str">
        <x:v>HG-01463</x:v>
      </x:c>
      <x:c r="B464" s="16" t="str">
        <x:v>Asif Kabir</x:v>
      </x:c>
      <x:c r="C464" s="16" t="str">
        <x:v>Male</x:v>
      </x:c>
      <x:c r="D464" s="16" t="str">
        <x:v>Administration</x:v>
      </x:c>
      <x:c r="E464" s="16" t="str">
        <x:v>Admin Executive</x:v>
      </x:c>
      <x:c r="F464" s="16" t="str">
        <x:v>Dhaka Head Office</x:v>
      </x:c>
      <x:c r="G464" s="16" t="str">
        <x:v>Permanent</x:v>
      </x:c>
      <x:c r="H464" s="35" t="n">
        <x:v>44615</x:v>
      </x:c>
      <x:c r="I464" s="35" t="n">
        <x:v>45722</x:v>
      </x:c>
      <x:c r="J464" s="16" t="str">
        <x:v>End of Contract</x:v>
      </x:c>
      <x:c r="K464" s="16" t="str">
        <x:f>IF(I464="","Active","Exited")</x:f>
        <x:v>Exited</x:v>
      </x:c>
      <x:c r="L464" s="16" t="n">
        <x:f>(YEAR(IF(I464="",TODAY(),I464))-YEAR(H464))*12+MONTH(IF(I464="",TODAY(),I464))-MONTH(H464)</x:f>
        <x:v>37</x:v>
      </x:c>
      <x:c r="M464" s="36" t="n">
        <x:f>DATE(YEAR(H464),MONTH(H464),1)</x:f>
        <x:v>44593</x:v>
      </x:c>
      <x:c r="N464" s="36" t="n">
        <x:f>IF(I464="","",DATE(YEAR(I464),MONTH(I464),1))</x:f>
        <x:v>45717</x:v>
      </x:c>
    </x:row>
    <x:row r="465">
      <x:c r="A465" s="16" t="str">
        <x:v>HG-01464</x:v>
      </x:c>
      <x:c r="B465" s="16" t="str">
        <x:v>Mim Khan</x:v>
      </x:c>
      <x:c r="C465" s="16" t="str">
        <x:v>Female</x:v>
      </x:c>
      <x:c r="D465" s="16" t="str">
        <x:v>Supply Chain</x:v>
      </x:c>
      <x:c r="E465" s="16" t="str">
        <x:v>Assistant Manager - Supply Chain</x:v>
      </x:c>
      <x:c r="F465" s="16" t="str">
        <x:v>Dhaka Head Office</x:v>
      </x:c>
      <x:c r="G465" s="16" t="str">
        <x:v>Permanent</x:v>
      </x:c>
      <x:c r="H465" s="35" t="n">
        <x:v>44391</x:v>
      </x:c>
      <x:c r="I465" s="35" t="n">
        <x:v>45779</x:v>
      </x:c>
      <x:c r="J465" s="16" t="str">
        <x:v>Better Opportunity</x:v>
      </x:c>
      <x:c r="K465" s="16" t="str">
        <x:f>IF(I465="","Active","Exited")</x:f>
        <x:v>Exited</x:v>
      </x:c>
      <x:c r="L465" s="16" t="n">
        <x:f>(YEAR(IF(I465="",TODAY(),I465))-YEAR(H465))*12+MONTH(IF(I465="",TODAY(),I465))-MONTH(H465)</x:f>
        <x:v>46</x:v>
      </x:c>
      <x:c r="M465" s="36" t="n">
        <x:f>DATE(YEAR(H465),MONTH(H465),1)</x:f>
        <x:v>44378</x:v>
      </x:c>
      <x:c r="N465" s="36" t="n">
        <x:f>IF(I465="","",DATE(YEAR(I465),MONTH(I465),1))</x:f>
        <x:v>45778</x:v>
      </x:c>
    </x:row>
    <x:row r="466">
      <x:c r="A466" s="16" t="str">
        <x:v>HG-01465</x:v>
      </x:c>
      <x:c r="B466" s="16" t="str">
        <x:v>Jubayer Akter</x:v>
      </x:c>
      <x:c r="C466" s="16" t="str">
        <x:v>Male</x:v>
      </x:c>
      <x:c r="D466" s="16" t="str">
        <x:v>Sales &amp; Marketing</x:v>
      </x:c>
      <x:c r="E466" s="16" t="str">
        <x:v>Sales Executive</x:v>
      </x:c>
      <x:c r="F466" s="16" t="str">
        <x:v>Dhaka Head Office</x:v>
      </x:c>
      <x:c r="G466" s="16" t="str">
        <x:v>Permanent</x:v>
      </x:c>
      <x:c r="H466" s="35" t="n">
        <x:v>43196</x:v>
      </x:c>
      <x:c r="I466" s="35"/>
      <x:c r="J466" s="16" t="str"/>
      <x:c r="K466" s="16" t="str">
        <x:f>IF(I466="","Active","Exited")</x:f>
        <x:v>Active</x:v>
      </x:c>
      <x:c r="L466" s="16" t="n">
        <x:f>(YEAR(IF(I466="",TODAY(),I466))-YEAR(H466))*12+MONTH(IF(I466="",TODAY(),I466))-MONTH(H466)</x:f>
        <x:v>99</x:v>
      </x:c>
      <x:c r="M466" s="36" t="n">
        <x:f>DATE(YEAR(H466),MONTH(H466),1)</x:f>
        <x:v>43191</x:v>
      </x:c>
      <x:c r="N466" s="36" t="str">
        <x:f>IF(I466="","",DATE(YEAR(I466),MONTH(I466),1))</x:f>
      </x:c>
    </x:row>
    <x:row r="467">
      <x:c r="A467" s="16" t="str">
        <x:v>HG-01466</x:v>
      </x:c>
      <x:c r="B467" s="16" t="str">
        <x:v>Mizan Alam</x:v>
      </x:c>
      <x:c r="C467" s="16" t="str">
        <x:v>Male</x:v>
      </x:c>
      <x:c r="D467" s="16" t="str">
        <x:v>Supply Chain</x:v>
      </x:c>
      <x:c r="E467" s="16" t="str">
        <x:v>Inventory Officer</x:v>
      </x:c>
      <x:c r="F467" s="16" t="str">
        <x:v>Gazipur Plant</x:v>
      </x:c>
      <x:c r="G467" s="16" t="str">
        <x:v>Contract</x:v>
      </x:c>
      <x:c r="H467" s="35" t="n">
        <x:v>43139</x:v>
      </x:c>
      <x:c r="I467" s="35"/>
      <x:c r="J467" s="16" t="str"/>
      <x:c r="K467" s="16" t="str">
        <x:f>IF(I467="","Active","Exited")</x:f>
        <x:v>Active</x:v>
      </x:c>
      <x:c r="L467" s="16" t="n">
        <x:f>(YEAR(IF(I467="",TODAY(),I467))-YEAR(H467))*12+MONTH(IF(I467="",TODAY(),I467))-MONTH(H467)</x:f>
        <x:v>101</x:v>
      </x:c>
      <x:c r="M467" s="36" t="n">
        <x:f>DATE(YEAR(H467),MONTH(H467),1)</x:f>
        <x:v>43132</x:v>
      </x:c>
      <x:c r="N467" s="36" t="str">
        <x:f>IF(I467="","",DATE(YEAR(I467),MONTH(I467),1))</x:f>
      </x:c>
    </x:row>
    <x:row r="468">
      <x:c r="A468" s="16" t="str">
        <x:v>HG-01467</x:v>
      </x:c>
      <x:c r="B468" s="16" t="str">
        <x:v>Arif Akter</x:v>
      </x:c>
      <x:c r="C468" s="16" t="str">
        <x:v>Male</x:v>
      </x:c>
      <x:c r="D468" s="16" t="str">
        <x:v>Production</x:v>
      </x:c>
      <x:c r="E468" s="16" t="str">
        <x:v>Production Officer</x:v>
      </x:c>
      <x:c r="F468" s="16" t="str">
        <x:v>Dhaka Head Office</x:v>
      </x:c>
      <x:c r="G468" s="16" t="str">
        <x:v>Permanent</x:v>
      </x:c>
      <x:c r="H468" s="35" t="n">
        <x:v>42812</x:v>
      </x:c>
      <x:c r="I468" s="35"/>
      <x:c r="J468" s="16" t="str"/>
      <x:c r="K468" s="16" t="str">
        <x:f>IF(I468="","Active","Exited")</x:f>
        <x:v>Active</x:v>
      </x:c>
      <x:c r="L468" s="16" t="n">
        <x:f>(YEAR(IF(I468="",TODAY(),I468))-YEAR(H468))*12+MONTH(IF(I468="",TODAY(),I468))-MONTH(H468)</x:f>
        <x:v>112</x:v>
      </x:c>
      <x:c r="M468" s="36" t="n">
        <x:f>DATE(YEAR(H468),MONTH(H468),1)</x:f>
        <x:v>42795</x:v>
      </x:c>
      <x:c r="N468" s="36" t="str">
        <x:f>IF(I468="","",DATE(YEAR(I468),MONTH(I468),1))</x:f>
      </x:c>
    </x:row>
    <x:row r="469">
      <x:c r="A469" s="16" t="str">
        <x:v>HG-01468</x:v>
      </x:c>
      <x:c r="B469" s="16" t="str">
        <x:v>Ayesha Hossain</x:v>
      </x:c>
      <x:c r="C469" s="16" t="str">
        <x:v>Female</x:v>
      </x:c>
      <x:c r="D469" s="16" t="str">
        <x:v>Production</x:v>
      </x:c>
      <x:c r="E469" s="16" t="str">
        <x:v>Assistant Manager - Production</x:v>
      </x:c>
      <x:c r="F469" s="16" t="str">
        <x:v>Chattogram Office</x:v>
      </x:c>
      <x:c r="G469" s="16" t="str">
        <x:v>Permanent</x:v>
      </x:c>
      <x:c r="H469" s="35" t="n">
        <x:v>45569</x:v>
      </x:c>
      <x:c r="I469" s="35" t="n">
        <x:v>46021</x:v>
      </x:c>
      <x:c r="J469" s="16" t="str">
        <x:v>Better Opportunity</x:v>
      </x:c>
      <x:c r="K469" s="16" t="str">
        <x:f>IF(I469="","Active","Exited")</x:f>
        <x:v>Exited</x:v>
      </x:c>
      <x:c r="L469" s="16" t="n">
        <x:f>(YEAR(IF(I469="",TODAY(),I469))-YEAR(H469))*12+MONTH(IF(I469="",TODAY(),I469))-MONTH(H469)</x:f>
        <x:v>14</x:v>
      </x:c>
      <x:c r="M469" s="36" t="n">
        <x:f>DATE(YEAR(H469),MONTH(H469),1)</x:f>
        <x:v>45566</x:v>
      </x:c>
      <x:c r="N469" s="36" t="n">
        <x:f>IF(I469="","",DATE(YEAR(I469),MONTH(I469),1))</x:f>
        <x:v>45992</x:v>
      </x:c>
    </x:row>
    <x:row r="470">
      <x:c r="A470" s="16" t="str">
        <x:v>HG-01469</x:v>
      </x:c>
      <x:c r="B470" s="16" t="str">
        <x:v>Mizan Kabir</x:v>
      </x:c>
      <x:c r="C470" s="16" t="str">
        <x:v>Male</x:v>
      </x:c>
      <x:c r="D470" s="16" t="str">
        <x:v>Production</x:v>
      </x:c>
      <x:c r="E470" s="16" t="str">
        <x:v>Senior Operator</x:v>
      </x:c>
      <x:c r="F470" s="16" t="str">
        <x:v>Gazipur Plant</x:v>
      </x:c>
      <x:c r="G470" s="16" t="str">
        <x:v>Permanent</x:v>
      </x:c>
      <x:c r="H470" s="35" t="n">
        <x:v>43545</x:v>
      </x:c>
      <x:c r="I470" s="35"/>
      <x:c r="J470" s="16" t="str"/>
      <x:c r="K470" s="16" t="str">
        <x:f>IF(I470="","Active","Exited")</x:f>
        <x:v>Active</x:v>
      </x:c>
      <x:c r="L470" s="16" t="n">
        <x:f>(YEAR(IF(I470="",TODAY(),I470))-YEAR(H470))*12+MONTH(IF(I470="",TODAY(),I470))-MONTH(H470)</x:f>
        <x:v>88</x:v>
      </x:c>
      <x:c r="M470" s="36" t="n">
        <x:f>DATE(YEAR(H470),MONTH(H470),1)</x:f>
        <x:v>43525</x:v>
      </x:c>
      <x:c r="N470" s="36" t="str">
        <x:f>IF(I470="","",DATE(YEAR(I470),MONTH(I470),1))</x:f>
      </x:c>
    </x:row>
    <x:row r="471">
      <x:c r="A471" s="16" t="str">
        <x:v>HG-01470</x:v>
      </x:c>
      <x:c r="B471" s="16" t="str">
        <x:v>Sadia Uddin</x:v>
      </x:c>
      <x:c r="C471" s="16" t="str">
        <x:v>Female</x:v>
      </x:c>
      <x:c r="D471" s="16" t="str">
        <x:v>Sales &amp; Marketing</x:v>
      </x:c>
      <x:c r="E471" s="16" t="str">
        <x:v>Key Account Executive</x:v>
      </x:c>
      <x:c r="F471" s="16" t="str">
        <x:v>Gazipur Plant</x:v>
      </x:c>
      <x:c r="G471" s="16" t="str">
        <x:v>Contract</x:v>
      </x:c>
      <x:c r="H471" s="35" t="n">
        <x:v>44229</x:v>
      </x:c>
      <x:c r="I471" s="35" t="n">
        <x:v>46150</x:v>
      </x:c>
      <x:c r="J471" s="16" t="str">
        <x:v>Retirement</x:v>
      </x:c>
      <x:c r="K471" s="16" t="str">
        <x:f>IF(I471="","Active","Exited")</x:f>
        <x:v>Exited</x:v>
      </x:c>
      <x:c r="L471" s="16" t="n">
        <x:f>(YEAR(IF(I471="",TODAY(),I471))-YEAR(H471))*12+MONTH(IF(I471="",TODAY(),I471))-MONTH(H471)</x:f>
        <x:v>63</x:v>
      </x:c>
      <x:c r="M471" s="36" t="n">
        <x:f>DATE(YEAR(H471),MONTH(H471),1)</x:f>
        <x:v>44228</x:v>
      </x:c>
      <x:c r="N471" s="36" t="n">
        <x:f>IF(I471="","",DATE(YEAR(I471),MONTH(I471),1))</x:f>
        <x:v>46143</x:v>
      </x:c>
    </x:row>
    <x:row r="472">
      <x:c r="A472" s="16" t="str">
        <x:v>HG-01471</x:v>
      </x:c>
      <x:c r="B472" s="16" t="str">
        <x:v>Sadika Begum</x:v>
      </x:c>
      <x:c r="C472" s="16" t="str">
        <x:v>Female</x:v>
      </x:c>
      <x:c r="D472" s="16" t="str">
        <x:v>Production</x:v>
      </x:c>
      <x:c r="E472" s="16" t="str">
        <x:v>Assistant Manager - Production</x:v>
      </x:c>
      <x:c r="F472" s="16" t="str">
        <x:v>Gazipur Plant</x:v>
      </x:c>
      <x:c r="G472" s="16" t="str">
        <x:v>Permanent</x:v>
      </x:c>
      <x:c r="H472" s="35" t="n">
        <x:v>45315</x:v>
      </x:c>
      <x:c r="I472" s="35"/>
      <x:c r="J472" s="16" t="str"/>
      <x:c r="K472" s="16" t="str">
        <x:f>IF(I472="","Active","Exited")</x:f>
        <x:v>Active</x:v>
      </x:c>
      <x:c r="L472" s="16" t="n">
        <x:f>(YEAR(IF(I472="",TODAY(),I472))-YEAR(H472))*12+MONTH(IF(I472="",TODAY(),I472))-MONTH(H472)</x:f>
        <x:v>30</x:v>
      </x:c>
      <x:c r="M472" s="36" t="n">
        <x:f>DATE(YEAR(H472),MONTH(H472),1)</x:f>
        <x:v>45292</x:v>
      </x:c>
      <x:c r="N472" s="36" t="str">
        <x:f>IF(I472="","",DATE(YEAR(I472),MONTH(I472),1))</x:f>
      </x:c>
    </x:row>
    <x:row r="473">
      <x:c r="A473" s="16" t="str">
        <x:v>HG-01472</x:v>
      </x:c>
      <x:c r="B473" s="16" t="str">
        <x:v>Rumana Islam</x:v>
      </x:c>
      <x:c r="C473" s="16" t="str">
        <x:v>Female</x:v>
      </x:c>
      <x:c r="D473" s="16" t="str">
        <x:v>Administration</x:v>
      </x:c>
      <x:c r="E473" s="16" t="str">
        <x:v>Admin Executive</x:v>
      </x:c>
      <x:c r="F473" s="16" t="str">
        <x:v>Dhaka Head Office</x:v>
      </x:c>
      <x:c r="G473" s="16" t="str">
        <x:v>Permanent</x:v>
      </x:c>
      <x:c r="H473" s="35" t="n">
        <x:v>44260</x:v>
      </x:c>
      <x:c r="I473" s="35"/>
      <x:c r="J473" s="16" t="str"/>
      <x:c r="K473" s="16" t="str">
        <x:f>IF(I473="","Active","Exited")</x:f>
        <x:v>Active</x:v>
      </x:c>
      <x:c r="L473" s="16" t="n">
        <x:f>(YEAR(IF(I473="",TODAY(),I473))-YEAR(H473))*12+MONTH(IF(I473="",TODAY(),I473))-MONTH(H473)</x:f>
        <x:v>64</x:v>
      </x:c>
      <x:c r="M473" s="36" t="n">
        <x:f>DATE(YEAR(H473),MONTH(H473),1)</x:f>
        <x:v>44256</x:v>
      </x:c>
      <x:c r="N473" s="36" t="str">
        <x:f>IF(I473="","",DATE(YEAR(I473),MONTH(I473),1))</x:f>
      </x:c>
    </x:row>
    <x:row r="474">
      <x:c r="A474" s="16" t="str">
        <x:v>HG-01473</x:v>
      </x:c>
      <x:c r="B474" s="16" t="str">
        <x:v>Foysal Hasan</x:v>
      </x:c>
      <x:c r="C474" s="16" t="str">
        <x:v>Male</x:v>
      </x:c>
      <x:c r="D474" s="16" t="str">
        <x:v>Production</x:v>
      </x:c>
      <x:c r="E474" s="16" t="str">
        <x:v>Production Operator</x:v>
      </x:c>
      <x:c r="F474" s="16" t="str">
        <x:v>Gazipur Plant</x:v>
      </x:c>
      <x:c r="G474" s="16" t="str">
        <x:v>Permanent</x:v>
      </x:c>
      <x:c r="H474" s="35" t="n">
        <x:v>43676</x:v>
      </x:c>
      <x:c r="I474" s="35" t="n">
        <x:v>45733</x:v>
      </x:c>
      <x:c r="J474" s="16" t="str">
        <x:v>Compensation &amp; Benefits</x:v>
      </x:c>
      <x:c r="K474" s="16" t="str">
        <x:f>IF(I474="","Active","Exited")</x:f>
        <x:v>Exited</x:v>
      </x:c>
      <x:c r="L474" s="16" t="n">
        <x:f>(YEAR(IF(I474="",TODAY(),I474))-YEAR(H474))*12+MONTH(IF(I474="",TODAY(),I474))-MONTH(H474)</x:f>
        <x:v>68</x:v>
      </x:c>
      <x:c r="M474" s="36" t="n">
        <x:f>DATE(YEAR(H474),MONTH(H474),1)</x:f>
        <x:v>43647</x:v>
      </x:c>
      <x:c r="N474" s="36" t="n">
        <x:f>IF(I474="","",DATE(YEAR(I474),MONTH(I474),1))</x:f>
        <x:v>45717</x:v>
      </x:c>
    </x:row>
    <x:row r="475">
      <x:c r="A475" s="16" t="str">
        <x:v>HG-01474</x:v>
      </x:c>
      <x:c r="B475" s="16" t="str">
        <x:v>Fahim Akter</x:v>
      </x:c>
      <x:c r="C475" s="16" t="str">
        <x:v>Male</x:v>
      </x:c>
      <x:c r="D475" s="16" t="str">
        <x:v>Production</x:v>
      </x:c>
      <x:c r="E475" s="16" t="str">
        <x:v>Line Supervisor</x:v>
      </x:c>
      <x:c r="F475" s="16" t="str">
        <x:v>Dhaka Head Office</x:v>
      </x:c>
      <x:c r="G475" s="16" t="str">
        <x:v>Permanent</x:v>
      </x:c>
      <x:c r="H475" s="35" t="n">
        <x:v>44587</x:v>
      </x:c>
      <x:c r="I475" s="35"/>
      <x:c r="J475" s="16" t="str"/>
      <x:c r="K475" s="16" t="str">
        <x:f>IF(I475="","Active","Exited")</x:f>
        <x:v>Active</x:v>
      </x:c>
      <x:c r="L475" s="16" t="n">
        <x:f>(YEAR(IF(I475="",TODAY(),I475))-YEAR(H475))*12+MONTH(IF(I475="",TODAY(),I475))-MONTH(H475)</x:f>
        <x:v>54</x:v>
      </x:c>
      <x:c r="M475" s="36" t="n">
        <x:f>DATE(YEAR(H475),MONTH(H475),1)</x:f>
        <x:v>44562</x:v>
      </x:c>
      <x:c r="N475" s="36" t="str">
        <x:f>IF(I475="","",DATE(YEAR(I475),MONTH(I475),1))</x:f>
      </x:c>
    </x:row>
    <x:row r="476">
      <x:c r="A476" s="16" t="str">
        <x:v>HG-01475</x:v>
      </x:c>
      <x:c r="B476" s="16" t="str">
        <x:v>Farhan Miah</x:v>
      </x:c>
      <x:c r="C476" s="16" t="str">
        <x:v>Male</x:v>
      </x:c>
      <x:c r="D476" s="16" t="str">
        <x:v>Production</x:v>
      </x:c>
      <x:c r="E476" s="16" t="str">
        <x:v>Production Officer</x:v>
      </x:c>
      <x:c r="F476" s="16" t="str">
        <x:v>Narayanganj Plant</x:v>
      </x:c>
      <x:c r="G476" s="16" t="str">
        <x:v>Probation</x:v>
      </x:c>
      <x:c r="H476" s="35" t="n">
        <x:v>45221</x:v>
      </x:c>
      <x:c r="I476" s="35"/>
      <x:c r="J476" s="16" t="str"/>
      <x:c r="K476" s="16" t="str">
        <x:f>IF(I476="","Active","Exited")</x:f>
        <x:v>Active</x:v>
      </x:c>
      <x:c r="L476" s="16" t="n">
        <x:f>(YEAR(IF(I476="",TODAY(),I476))-YEAR(H476))*12+MONTH(IF(I476="",TODAY(),I476))-MONTH(H476)</x:f>
        <x:v>33</x:v>
      </x:c>
      <x:c r="M476" s="36" t="n">
        <x:f>DATE(YEAR(H476),MONTH(H476),1)</x:f>
        <x:v>45200</x:v>
      </x:c>
      <x:c r="N476" s="36" t="str">
        <x:f>IF(I476="","",DATE(YEAR(I476),MONTH(I476),1))</x:f>
      </x:c>
    </x:row>
    <x:row r="477">
      <x:c r="A477" s="16" t="str">
        <x:v>HG-01476</x:v>
      </x:c>
      <x:c r="B477" s="16" t="str">
        <x:v>Tanvir Karim</x:v>
      </x:c>
      <x:c r="C477" s="16" t="str">
        <x:v>Male</x:v>
      </x:c>
      <x:c r="D477" s="16" t="str">
        <x:v>Production</x:v>
      </x:c>
      <x:c r="E477" s="16" t="str">
        <x:v>Production Operator</x:v>
      </x:c>
      <x:c r="F477" s="16" t="str">
        <x:v>Gazipur Plant</x:v>
      </x:c>
      <x:c r="G477" s="16" t="str">
        <x:v>Permanent</x:v>
      </x:c>
      <x:c r="H477" s="35" t="n">
        <x:v>45260</x:v>
      </x:c>
      <x:c r="I477" s="35" t="n">
        <x:v>45685</x:v>
      </x:c>
      <x:c r="J477" s="16" t="str">
        <x:v>Work-Life Balance</x:v>
      </x:c>
      <x:c r="K477" s="16" t="str">
        <x:f>IF(I477="","Active","Exited")</x:f>
        <x:v>Exited</x:v>
      </x:c>
      <x:c r="L477" s="16" t="n">
        <x:f>(YEAR(IF(I477="",TODAY(),I477))-YEAR(H477))*12+MONTH(IF(I477="",TODAY(),I477))-MONTH(H477)</x:f>
        <x:v>14</x:v>
      </x:c>
      <x:c r="M477" s="36" t="n">
        <x:f>DATE(YEAR(H477),MONTH(H477),1)</x:f>
        <x:v>45231</x:v>
      </x:c>
      <x:c r="N477" s="36" t="n">
        <x:f>IF(I477="","",DATE(YEAR(I477),MONTH(I477),1))</x:f>
        <x:v>45658</x:v>
      </x:c>
    </x:row>
    <x:row r="478">
      <x:c r="A478" s="16" t="str">
        <x:v>HG-01477</x:v>
      </x:c>
      <x:c r="B478" s="16" t="str">
        <x:v>Hasan Begum</x:v>
      </x:c>
      <x:c r="C478" s="16" t="str">
        <x:v>Male</x:v>
      </x:c>
      <x:c r="D478" s="16" t="str">
        <x:v>Production</x:v>
      </x:c>
      <x:c r="E478" s="16" t="str">
        <x:v>Assistant Manager - Production</x:v>
      </x:c>
      <x:c r="F478" s="16" t="str">
        <x:v>Narayanganj Plant</x:v>
      </x:c>
      <x:c r="G478" s="16" t="str">
        <x:v>Permanent</x:v>
      </x:c>
      <x:c r="H478" s="35" t="n">
        <x:v>43357</x:v>
      </x:c>
      <x:c r="I478" s="35"/>
      <x:c r="J478" s="16" t="str"/>
      <x:c r="K478" s="16" t="str">
        <x:f>IF(I478="","Active","Exited")</x:f>
        <x:v>Active</x:v>
      </x:c>
      <x:c r="L478" s="16" t="n">
        <x:f>(YEAR(IF(I478="",TODAY(),I478))-YEAR(H478))*12+MONTH(IF(I478="",TODAY(),I478))-MONTH(H478)</x:f>
        <x:v>94</x:v>
      </x:c>
      <x:c r="M478" s="36" t="n">
        <x:f>DATE(YEAR(H478),MONTH(H478),1)</x:f>
        <x:v>43344</x:v>
      </x:c>
      <x:c r="N478" s="36" t="str">
        <x:f>IF(I478="","",DATE(YEAR(I478),MONTH(I478),1))</x:f>
      </x:c>
    </x:row>
    <x:row r="479">
      <x:c r="A479" s="16" t="str">
        <x:v>HG-01478</x:v>
      </x:c>
      <x:c r="B479" s="16" t="str">
        <x:v>Imran Akter</x:v>
      </x:c>
      <x:c r="C479" s="16" t="str">
        <x:v>Male</x:v>
      </x:c>
      <x:c r="D479" s="16" t="str">
        <x:v>Sales &amp; Marketing</x:v>
      </x:c>
      <x:c r="E479" s="16" t="str">
        <x:v>Marketing Officer</x:v>
      </x:c>
      <x:c r="F479" s="16" t="str">
        <x:v>Dhaka Head Office</x:v>
      </x:c>
      <x:c r="G479" s="16" t="str">
        <x:v>Permanent</x:v>
      </x:c>
      <x:c r="H479" s="35" t="n">
        <x:v>42772</x:v>
      </x:c>
      <x:c r="I479" s="35" t="n">
        <x:v>45695</x:v>
      </x:c>
      <x:c r="J479" s="16" t="str">
        <x:v>Supervisor / Management</x:v>
      </x:c>
      <x:c r="K479" s="16" t="str">
        <x:f>IF(I479="","Active","Exited")</x:f>
        <x:v>Exited</x:v>
      </x:c>
      <x:c r="L479" s="16" t="n">
        <x:f>(YEAR(IF(I479="",TODAY(),I479))-YEAR(H479))*12+MONTH(IF(I479="",TODAY(),I479))-MONTH(H479)</x:f>
        <x:v>96</x:v>
      </x:c>
      <x:c r="M479" s="36" t="n">
        <x:f>DATE(YEAR(H479),MONTH(H479),1)</x:f>
        <x:v>42767</x:v>
      </x:c>
      <x:c r="N479" s="36" t="n">
        <x:f>IF(I479="","",DATE(YEAR(I479),MONTH(I479),1))</x:f>
        <x:v>45689</x:v>
      </x:c>
    </x:row>
    <x:row r="480">
      <x:c r="A480" s="16" t="str">
        <x:v>HG-01479</x:v>
      </x:c>
      <x:c r="B480" s="16" t="str">
        <x:v>Imran Kabir</x:v>
      </x:c>
      <x:c r="C480" s="16" t="str">
        <x:v>Male</x:v>
      </x:c>
      <x:c r="D480" s="16" t="str">
        <x:v>Supply Chain</x:v>
      </x:c>
      <x:c r="E480" s="16" t="str">
        <x:v>Senior Supply Chain Executive</x:v>
      </x:c>
      <x:c r="F480" s="16" t="str">
        <x:v>Chattogram Office</x:v>
      </x:c>
      <x:c r="G480" s="16" t="str">
        <x:v>Permanent</x:v>
      </x:c>
      <x:c r="H480" s="35" t="n">
        <x:v>43336</x:v>
      </x:c>
      <x:c r="I480" s="35"/>
      <x:c r="J480" s="16" t="str"/>
      <x:c r="K480" s="16" t="str">
        <x:f>IF(I480="","Active","Exited")</x:f>
        <x:v>Active</x:v>
      </x:c>
      <x:c r="L480" s="16" t="n">
        <x:f>(YEAR(IF(I480="",TODAY(),I480))-YEAR(H480))*12+MONTH(IF(I480="",TODAY(),I480))-MONTH(H480)</x:f>
        <x:v>95</x:v>
      </x:c>
      <x:c r="M480" s="36" t="n">
        <x:f>DATE(YEAR(H480),MONTH(H480),1)</x:f>
        <x:v>43313</x:v>
      </x:c>
      <x:c r="N480" s="36" t="str">
        <x:f>IF(I480="","",DATE(YEAR(I480),MONTH(I480),1))</x:f>
      </x:c>
    </x:row>
    <x:row r="481">
      <x:c r="A481" s="16" t="str">
        <x:v>HG-01480</x:v>
      </x:c>
      <x:c r="B481" s="16" t="str">
        <x:v>Sabbir Rahman</x:v>
      </x:c>
      <x:c r="C481" s="16" t="str">
        <x:v>Male</x:v>
      </x:c>
      <x:c r="D481" s="16" t="str">
        <x:v>Production</x:v>
      </x:c>
      <x:c r="E481" s="16" t="str">
        <x:v>Senior Operator</x:v>
      </x:c>
      <x:c r="F481" s="16" t="str">
        <x:v>Gazipur Plant</x:v>
      </x:c>
      <x:c r="G481" s="16" t="str">
        <x:v>Permanent</x:v>
      </x:c>
      <x:c r="H481" s="35" t="n">
        <x:v>44477</x:v>
      </x:c>
      <x:c r="I481" s="35"/>
      <x:c r="J481" s="16" t="str"/>
      <x:c r="K481" s="16" t="str">
        <x:f>IF(I481="","Active","Exited")</x:f>
        <x:v>Active</x:v>
      </x:c>
      <x:c r="L481" s="16" t="n">
        <x:f>(YEAR(IF(I481="",TODAY(),I481))-YEAR(H481))*12+MONTH(IF(I481="",TODAY(),I481))-MONTH(H481)</x:f>
        <x:v>57</x:v>
      </x:c>
      <x:c r="M481" s="36" t="n">
        <x:f>DATE(YEAR(H481),MONTH(H481),1)</x:f>
        <x:v>44470</x:v>
      </x:c>
      <x:c r="N481" s="36" t="str">
        <x:f>IF(I481="","",DATE(YEAR(I481),MONTH(I481),1))</x:f>
      </x:c>
    </x:row>
    <x:row r="482">
      <x:c r="A482" s="16" t="str">
        <x:v>HG-01481</x:v>
      </x:c>
      <x:c r="B482" s="16" t="str">
        <x:v>Tanjila Sarker</x:v>
      </x:c>
      <x:c r="C482" s="16" t="str">
        <x:v>Female</x:v>
      </x:c>
      <x:c r="D482" s="16" t="str">
        <x:v>Production</x:v>
      </x:c>
      <x:c r="E482" s="16" t="str">
        <x:v>Assistant Manager - Production</x:v>
      </x:c>
      <x:c r="F482" s="16" t="str">
        <x:v>Narayanganj Plant</x:v>
      </x:c>
      <x:c r="G482" s="16" t="str">
        <x:v>Permanent</x:v>
      </x:c>
      <x:c r="H482" s="35" t="n">
        <x:v>44888</x:v>
      </x:c>
      <x:c r="I482" s="35"/>
      <x:c r="J482" s="16" t="str"/>
      <x:c r="K482" s="16" t="str">
        <x:f>IF(I482="","Active","Exited")</x:f>
        <x:v>Active</x:v>
      </x:c>
      <x:c r="L482" s="16" t="n">
        <x:f>(YEAR(IF(I482="",TODAY(),I482))-YEAR(H482))*12+MONTH(IF(I482="",TODAY(),I482))-MONTH(H482)</x:f>
        <x:v>44</x:v>
      </x:c>
      <x:c r="M482" s="36" t="n">
        <x:f>DATE(YEAR(H482),MONTH(H482),1)</x:f>
        <x:v>44866</x:v>
      </x:c>
      <x:c r="N482" s="36" t="str">
        <x:f>IF(I482="","",DATE(YEAR(I482),MONTH(I482),1))</x:f>
      </x:c>
    </x:row>
    <x:row r="483">
      <x:c r="A483" s="16" t="str">
        <x:v>HG-01482</x:v>
      </x:c>
      <x:c r="B483" s="16" t="str">
        <x:v>Rafi Karim</x:v>
      </x:c>
      <x:c r="C483" s="16" t="str">
        <x:v>Male</x:v>
      </x:c>
      <x:c r="D483" s="16" t="str">
        <x:v>Human Resources</x:v>
      </x:c>
      <x:c r="E483" s="16" t="str">
        <x:v>HR Executive</x:v>
      </x:c>
      <x:c r="F483" s="16" t="str">
        <x:v>Dhaka Head Office</x:v>
      </x:c>
      <x:c r="G483" s="16" t="str">
        <x:v>Contract</x:v>
      </x:c>
      <x:c r="H483" s="35" t="n">
        <x:v>42923</x:v>
      </x:c>
      <x:c r="I483" s="35"/>
      <x:c r="J483" s="16" t="str"/>
      <x:c r="K483" s="16" t="str">
        <x:f>IF(I483="","Active","Exited")</x:f>
        <x:v>Active</x:v>
      </x:c>
      <x:c r="L483" s="16" t="n">
        <x:f>(YEAR(IF(I483="",TODAY(),I483))-YEAR(H483))*12+MONTH(IF(I483="",TODAY(),I483))-MONTH(H483)</x:f>
        <x:v>108</x:v>
      </x:c>
      <x:c r="M483" s="36" t="n">
        <x:f>DATE(YEAR(H483),MONTH(H483),1)</x:f>
        <x:v>42917</x:v>
      </x:c>
      <x:c r="N483" s="36" t="str">
        <x:f>IF(I483="","",DATE(YEAR(I483),MONTH(I483),1))</x:f>
      </x:c>
    </x:row>
    <x:row r="484">
      <x:c r="A484" s="16" t="str">
        <x:v>HG-01483</x:v>
      </x:c>
      <x:c r="B484" s="16" t="str">
        <x:v>Hasan Ahmed</x:v>
      </x:c>
      <x:c r="C484" s="16" t="str">
        <x:v>Male</x:v>
      </x:c>
      <x:c r="D484" s="16" t="str">
        <x:v>Administration</x:v>
      </x:c>
      <x:c r="E484" s="16" t="str">
        <x:v>Assistant Manager - Admin</x:v>
      </x:c>
      <x:c r="F484" s="16" t="str">
        <x:v>Dhaka Head Office</x:v>
      </x:c>
      <x:c r="G484" s="16" t="str">
        <x:v>Permanent</x:v>
      </x:c>
      <x:c r="H484" s="35" t="n">
        <x:v>45174</x:v>
      </x:c>
      <x:c r="I484" s="35" t="n">
        <x:v>45682</x:v>
      </x:c>
      <x:c r="J484" s="16" t="str">
        <x:v>Better Opportunity</x:v>
      </x:c>
      <x:c r="K484" s="16" t="str">
        <x:f>IF(I484="","Active","Exited")</x:f>
        <x:v>Exited</x:v>
      </x:c>
      <x:c r="L484" s="16" t="n">
        <x:f>(YEAR(IF(I484="",TODAY(),I484))-YEAR(H484))*12+MONTH(IF(I484="",TODAY(),I484))-MONTH(H484)</x:f>
        <x:v>16</x:v>
      </x:c>
      <x:c r="M484" s="36" t="n">
        <x:f>DATE(YEAR(H484),MONTH(H484),1)</x:f>
        <x:v>45170</x:v>
      </x:c>
      <x:c r="N484" s="36" t="n">
        <x:f>IF(I484="","",DATE(YEAR(I484),MONTH(I484),1))</x:f>
        <x:v>45658</x:v>
      </x:c>
    </x:row>
    <x:row r="485">
      <x:c r="A485" s="16" t="str">
        <x:v>HG-01484</x:v>
      </x:c>
      <x:c r="B485" s="16" t="str">
        <x:v>Sabbir Rahman</x:v>
      </x:c>
      <x:c r="C485" s="16" t="str">
        <x:v>Male</x:v>
      </x:c>
      <x:c r="D485" s="16" t="str">
        <x:v>Quality Assurance</x:v>
      </x:c>
      <x:c r="E485" s="16" t="str">
        <x:v>Assistant Manager - QA</x:v>
      </x:c>
      <x:c r="F485" s="16" t="str">
        <x:v>Gazipur Plant</x:v>
      </x:c>
      <x:c r="G485" s="16" t="str">
        <x:v>Permanent</x:v>
      </x:c>
      <x:c r="H485" s="35" t="n">
        <x:v>44485</x:v>
      </x:c>
      <x:c r="I485" s="35"/>
      <x:c r="J485" s="16" t="str"/>
      <x:c r="K485" s="16" t="str">
        <x:f>IF(I485="","Active","Exited")</x:f>
        <x:v>Active</x:v>
      </x:c>
      <x:c r="L485" s="16" t="n">
        <x:f>(YEAR(IF(I485="",TODAY(),I485))-YEAR(H485))*12+MONTH(IF(I485="",TODAY(),I485))-MONTH(H485)</x:f>
        <x:v>57</x:v>
      </x:c>
      <x:c r="M485" s="36" t="n">
        <x:f>DATE(YEAR(H485),MONTH(H485),1)</x:f>
        <x:v>44470</x:v>
      </x:c>
      <x:c r="N485" s="36" t="str">
        <x:f>IF(I485="","",DATE(YEAR(I485),MONTH(I485),1))</x:f>
      </x:c>
    </x:row>
    <x:row r="486">
      <x:c r="A486" s="16" t="str">
        <x:v>HG-01485</x:v>
      </x:c>
      <x:c r="B486" s="16" t="str">
        <x:v>Foysal Khan</x:v>
      </x:c>
      <x:c r="C486" s="16" t="str">
        <x:v>Male</x:v>
      </x:c>
      <x:c r="D486" s="16" t="str">
        <x:v>Production</x:v>
      </x:c>
      <x:c r="E486" s="16" t="str">
        <x:v>Production Officer</x:v>
      </x:c>
      <x:c r="F486" s="16" t="str">
        <x:v>Narayanganj Plant</x:v>
      </x:c>
      <x:c r="G486" s="16" t="str">
        <x:v>Permanent</x:v>
      </x:c>
      <x:c r="H486" s="35" t="n">
        <x:v>45375</x:v>
      </x:c>
      <x:c r="I486" s="35"/>
      <x:c r="J486" s="16" t="str"/>
      <x:c r="K486" s="16" t="str">
        <x:f>IF(I486="","Active","Exited")</x:f>
        <x:v>Active</x:v>
      </x:c>
      <x:c r="L486" s="16" t="n">
        <x:f>(YEAR(IF(I486="",TODAY(),I486))-YEAR(H486))*12+MONTH(IF(I486="",TODAY(),I486))-MONTH(H486)</x:f>
        <x:v>28</x:v>
      </x:c>
      <x:c r="M486" s="36" t="n">
        <x:f>DATE(YEAR(H486),MONTH(H486),1)</x:f>
        <x:v>45352</x:v>
      </x:c>
      <x:c r="N486" s="36" t="str">
        <x:f>IF(I486="","",DATE(YEAR(I486),MONTH(I486),1))</x:f>
      </x:c>
    </x:row>
    <x:row r="487">
      <x:c r="A487" s="16" t="str">
        <x:v>HG-01486</x:v>
      </x:c>
      <x:c r="B487" s="16" t="str">
        <x:v>Tanvir Islam</x:v>
      </x:c>
      <x:c r="C487" s="16" t="str">
        <x:v>Male</x:v>
      </x:c>
      <x:c r="D487" s="16" t="str">
        <x:v>Production</x:v>
      </x:c>
      <x:c r="E487" s="16" t="str">
        <x:v>Assistant Manager - Production</x:v>
      </x:c>
      <x:c r="F487" s="16" t="str">
        <x:v>Chattogram Office</x:v>
      </x:c>
      <x:c r="G487" s="16" t="str">
        <x:v>Permanent</x:v>
      </x:c>
      <x:c r="H487" s="35" t="n">
        <x:v>42932</x:v>
      </x:c>
      <x:c r="I487" s="35" t="n">
        <x:v>46067</x:v>
      </x:c>
      <x:c r="J487" s="16" t="str">
        <x:v>Performance</x:v>
      </x:c>
      <x:c r="K487" s="16" t="str">
        <x:f>IF(I487="","Active","Exited")</x:f>
        <x:v>Exited</x:v>
      </x:c>
      <x:c r="L487" s="16" t="n">
        <x:f>(YEAR(IF(I487="",TODAY(),I487))-YEAR(H487))*12+MONTH(IF(I487="",TODAY(),I487))-MONTH(H487)</x:f>
        <x:v>103</x:v>
      </x:c>
      <x:c r="M487" s="36" t="n">
        <x:f>DATE(YEAR(H487),MONTH(H487),1)</x:f>
        <x:v>42917</x:v>
      </x:c>
      <x:c r="N487" s="36" t="n">
        <x:f>IF(I487="","",DATE(YEAR(I487),MONTH(I487),1))</x:f>
        <x:v>46054</x:v>
      </x:c>
    </x:row>
    <x:row r="488">
      <x:c r="A488" s="16" t="str">
        <x:v>HG-01487</x:v>
      </x:c>
      <x:c r="B488" s="16" t="str">
        <x:v>Fahim Karim</x:v>
      </x:c>
      <x:c r="C488" s="16" t="str">
        <x:v>Male</x:v>
      </x:c>
      <x:c r="D488" s="16" t="str">
        <x:v>Administration</x:v>
      </x:c>
      <x:c r="E488" s="16" t="str">
        <x:v>Admin Executive</x:v>
      </x:c>
      <x:c r="F488" s="16" t="str">
        <x:v>Dhaka Head Office</x:v>
      </x:c>
      <x:c r="G488" s="16" t="str">
        <x:v>Permanent</x:v>
      </x:c>
      <x:c r="H488" s="35" t="n">
        <x:v>43407</x:v>
      </x:c>
      <x:c r="I488" s="35"/>
      <x:c r="J488" s="16" t="str"/>
      <x:c r="K488" s="16" t="str">
        <x:f>IF(I488="","Active","Exited")</x:f>
        <x:v>Active</x:v>
      </x:c>
      <x:c r="L488" s="16" t="n">
        <x:f>(YEAR(IF(I488="",TODAY(),I488))-YEAR(H488))*12+MONTH(IF(I488="",TODAY(),I488))-MONTH(H488)</x:f>
        <x:v>92</x:v>
      </x:c>
      <x:c r="M488" s="36" t="n">
        <x:f>DATE(YEAR(H488),MONTH(H488),1)</x:f>
        <x:v>43405</x:v>
      </x:c>
      <x:c r="N488" s="36" t="str">
        <x:f>IF(I488="","",DATE(YEAR(I488),MONTH(I488),1))</x:f>
      </x:c>
    </x:row>
    <x:row r="489">
      <x:c r="A489" s="16" t="str">
        <x:v>HG-01488</x:v>
      </x:c>
      <x:c r="B489" s="16" t="str">
        <x:v>Mim Akter</x:v>
      </x:c>
      <x:c r="C489" s="16" t="str">
        <x:v>Female</x:v>
      </x:c>
      <x:c r="D489" s="16" t="str">
        <x:v>Administration</x:v>
      </x:c>
      <x:c r="E489" s="16" t="str">
        <x:v>Admin Assistant</x:v>
      </x:c>
      <x:c r="F489" s="16" t="str">
        <x:v>Dhaka Head Office</x:v>
      </x:c>
      <x:c r="G489" s="16" t="str">
        <x:v>Permanent</x:v>
      </x:c>
      <x:c r="H489" s="35" t="n">
        <x:v>45138</x:v>
      </x:c>
      <x:c r="I489" s="35"/>
      <x:c r="J489" s="16" t="str"/>
      <x:c r="K489" s="16" t="str">
        <x:f>IF(I489="","Active","Exited")</x:f>
        <x:v>Active</x:v>
      </x:c>
      <x:c r="L489" s="16" t="n">
        <x:f>(YEAR(IF(I489="",TODAY(),I489))-YEAR(H489))*12+MONTH(IF(I489="",TODAY(),I489))-MONTH(H489)</x:f>
        <x:v>36</x:v>
      </x:c>
      <x:c r="M489" s="36" t="n">
        <x:f>DATE(YEAR(H489),MONTH(H489),1)</x:f>
        <x:v>45108</x:v>
      </x:c>
      <x:c r="N489" s="36" t="str">
        <x:f>IF(I489="","",DATE(YEAR(I489),MONTH(I489),1))</x:f>
      </x:c>
    </x:row>
    <x:row r="490">
      <x:c r="A490" s="16" t="str">
        <x:v>HG-01489</x:v>
      </x:c>
      <x:c r="B490" s="16" t="str">
        <x:v>Rashed Hossain</x:v>
      </x:c>
      <x:c r="C490" s="16" t="str">
        <x:v>Male</x:v>
      </x:c>
      <x:c r="D490" s="16" t="str">
        <x:v>Administration</x:v>
      </x:c>
      <x:c r="E490" s="16" t="str">
        <x:v>Assistant Manager - Admin</x:v>
      </x:c>
      <x:c r="F490" s="16" t="str">
        <x:v>Dhaka Head Office</x:v>
      </x:c>
      <x:c r="G490" s="16" t="str">
        <x:v>Permanent</x:v>
      </x:c>
      <x:c r="H490" s="35" t="n">
        <x:v>45587</x:v>
      </x:c>
      <x:c r="I490" s="35"/>
      <x:c r="J490" s="16" t="str"/>
      <x:c r="K490" s="16" t="str">
        <x:f>IF(I490="","Active","Exited")</x:f>
        <x:v>Active</x:v>
      </x:c>
      <x:c r="L490" s="16" t="n">
        <x:f>(YEAR(IF(I490="",TODAY(),I490))-YEAR(H490))*12+MONTH(IF(I490="",TODAY(),I490))-MONTH(H490)</x:f>
        <x:v>21</x:v>
      </x:c>
      <x:c r="M490" s="36" t="n">
        <x:f>DATE(YEAR(H490),MONTH(H490),1)</x:f>
        <x:v>45566</x:v>
      </x:c>
      <x:c r="N490" s="36" t="str">
        <x:f>IF(I490="","",DATE(YEAR(I490),MONTH(I490),1))</x:f>
      </x:c>
    </x:row>
    <x:row r="491">
      <x:c r="A491" s="16" t="str">
        <x:v>HG-01490</x:v>
      </x:c>
      <x:c r="B491" s="16" t="str">
        <x:v>Rumana Alam</x:v>
      </x:c>
      <x:c r="C491" s="16" t="str">
        <x:v>Female</x:v>
      </x:c>
      <x:c r="D491" s="16" t="str">
        <x:v>Production</x:v>
      </x:c>
      <x:c r="E491" s="16" t="str">
        <x:v>Assistant Manager - Production</x:v>
      </x:c>
      <x:c r="F491" s="16" t="str">
        <x:v>Narayanganj Plant</x:v>
      </x:c>
      <x:c r="G491" s="16" t="str">
        <x:v>Permanent</x:v>
      </x:c>
      <x:c r="H491" s="35" t="n">
        <x:v>43784</x:v>
      </x:c>
      <x:c r="I491" s="35"/>
      <x:c r="J491" s="16" t="str"/>
      <x:c r="K491" s="16" t="str">
        <x:f>IF(I491="","Active","Exited")</x:f>
        <x:v>Active</x:v>
      </x:c>
      <x:c r="L491" s="16" t="n">
        <x:f>(YEAR(IF(I491="",TODAY(),I491))-YEAR(H491))*12+MONTH(IF(I491="",TODAY(),I491))-MONTH(H491)</x:f>
        <x:v>80</x:v>
      </x:c>
      <x:c r="M491" s="36" t="n">
        <x:f>DATE(YEAR(H491),MONTH(H491),1)</x:f>
        <x:v>43770</x:v>
      </x:c>
      <x:c r="N491" s="36" t="str">
        <x:f>IF(I491="","",DATE(YEAR(I491),MONTH(I491),1))</x:f>
      </x:c>
    </x:row>
    <x:row r="492">
      <x:c r="A492" s="16" t="str">
        <x:v>HG-01491</x:v>
      </x:c>
      <x:c r="B492" s="16" t="str">
        <x:v>Rakib Islam</x:v>
      </x:c>
      <x:c r="C492" s="16" t="str">
        <x:v>Male</x:v>
      </x:c>
      <x:c r="D492" s="16" t="str">
        <x:v>Administration</x:v>
      </x:c>
      <x:c r="E492" s="16" t="str">
        <x:v>Admin Executive</x:v>
      </x:c>
      <x:c r="F492" s="16" t="str">
        <x:v>Dhaka Head Office</x:v>
      </x:c>
      <x:c r="G492" s="16" t="str">
        <x:v>Permanent</x:v>
      </x:c>
      <x:c r="H492" s="35" t="n">
        <x:v>43299</x:v>
      </x:c>
      <x:c r="I492" s="35"/>
      <x:c r="J492" s="16" t="str"/>
      <x:c r="K492" s="16" t="str">
        <x:f>IF(I492="","Active","Exited")</x:f>
        <x:v>Active</x:v>
      </x:c>
      <x:c r="L492" s="16" t="n">
        <x:f>(YEAR(IF(I492="",TODAY(),I492))-YEAR(H492))*12+MONTH(IF(I492="",TODAY(),I492))-MONTH(H492)</x:f>
        <x:v>96</x:v>
      </x:c>
      <x:c r="M492" s="36" t="n">
        <x:f>DATE(YEAR(H492),MONTH(H492),1)</x:f>
        <x:v>43282</x:v>
      </x:c>
      <x:c r="N492" s="36" t="str">
        <x:f>IF(I492="","",DATE(YEAR(I492),MONTH(I492),1))</x:f>
      </x:c>
    </x:row>
    <x:row r="493">
      <x:c r="A493" s="16" t="str">
        <x:v>HG-01492</x:v>
      </x:c>
      <x:c r="B493" s="16" t="str">
        <x:v>Mahmud Miah</x:v>
      </x:c>
      <x:c r="C493" s="16" t="str">
        <x:v>Male</x:v>
      </x:c>
      <x:c r="D493" s="16" t="str">
        <x:v>Sales &amp; Marketing</x:v>
      </x:c>
      <x:c r="E493" s="16" t="str">
        <x:v>Assistant Manager - Sales</x:v>
      </x:c>
      <x:c r="F493" s="16" t="str">
        <x:v>Dhaka Head Office</x:v>
      </x:c>
      <x:c r="G493" s="16" t="str">
        <x:v>Permanent</x:v>
      </x:c>
      <x:c r="H493" s="35" t="n">
        <x:v>43230</x:v>
      </x:c>
      <x:c r="I493" s="35"/>
      <x:c r="J493" s="16" t="str"/>
      <x:c r="K493" s="16" t="str">
        <x:f>IF(I493="","Active","Exited")</x:f>
        <x:v>Active</x:v>
      </x:c>
      <x:c r="L493" s="16" t="n">
        <x:f>(YEAR(IF(I493="",TODAY(),I493))-YEAR(H493))*12+MONTH(IF(I493="",TODAY(),I493))-MONTH(H493)</x:f>
        <x:v>98</x:v>
      </x:c>
      <x:c r="M493" s="36" t="n">
        <x:f>DATE(YEAR(H493),MONTH(H493),1)</x:f>
        <x:v>43221</x:v>
      </x:c>
      <x:c r="N493" s="36" t="str">
        <x:f>IF(I493="","",DATE(YEAR(I493),MONTH(I493),1))</x:f>
      </x:c>
    </x:row>
    <x:row r="494">
      <x:c r="A494" s="16" t="str">
        <x:v>HG-01493</x:v>
      </x:c>
      <x:c r="B494" s="16" t="str">
        <x:v>Fahim Chowdhury</x:v>
      </x:c>
      <x:c r="C494" s="16" t="str">
        <x:v>Male</x:v>
      </x:c>
      <x:c r="D494" s="16" t="str">
        <x:v>Sales &amp; Marketing</x:v>
      </x:c>
      <x:c r="E494" s="16" t="str">
        <x:v>Territory Officer</x:v>
      </x:c>
      <x:c r="F494" s="16" t="str">
        <x:v>Dhaka Head Office</x:v>
      </x:c>
      <x:c r="G494" s="16" t="str">
        <x:v>Permanent</x:v>
      </x:c>
      <x:c r="H494" s="35" t="n">
        <x:v>45457</x:v>
      </x:c>
      <x:c r="I494" s="35"/>
      <x:c r="J494" s="16" t="str"/>
      <x:c r="K494" s="16" t="str">
        <x:f>IF(I494="","Active","Exited")</x:f>
        <x:v>Active</x:v>
      </x:c>
      <x:c r="L494" s="16" t="n">
        <x:f>(YEAR(IF(I494="",TODAY(),I494))-YEAR(H494))*12+MONTH(IF(I494="",TODAY(),I494))-MONTH(H494)</x:f>
        <x:v>25</x:v>
      </x:c>
      <x:c r="M494" s="36" t="n">
        <x:f>DATE(YEAR(H494),MONTH(H494),1)</x:f>
        <x:v>45444</x:v>
      </x:c>
      <x:c r="N494" s="36" t="str">
        <x:f>IF(I494="","",DATE(YEAR(I494),MONTH(I494),1))</x:f>
      </x:c>
    </x:row>
    <x:row r="495">
      <x:c r="A495" s="16" t="str">
        <x:v>HG-01494</x:v>
      </x:c>
      <x:c r="B495" s="16" t="str">
        <x:v>Rumana Hasan</x:v>
      </x:c>
      <x:c r="C495" s="16" t="str">
        <x:v>Female</x:v>
      </x:c>
      <x:c r="D495" s="16" t="str">
        <x:v>Production</x:v>
      </x:c>
      <x:c r="E495" s="16" t="str">
        <x:v>Line Supervisor</x:v>
      </x:c>
      <x:c r="F495" s="16" t="str">
        <x:v>Narayanganj Plant</x:v>
      </x:c>
      <x:c r="G495" s="16" t="str">
        <x:v>Permanent</x:v>
      </x:c>
      <x:c r="H495" s="35" t="n">
        <x:v>43012</x:v>
      </x:c>
      <x:c r="I495" s="35"/>
      <x:c r="J495" s="16" t="str"/>
      <x:c r="K495" s="16" t="str">
        <x:f>IF(I495="","Active","Exited")</x:f>
        <x:v>Active</x:v>
      </x:c>
      <x:c r="L495" s="16" t="n">
        <x:f>(YEAR(IF(I495="",TODAY(),I495))-YEAR(H495))*12+MONTH(IF(I495="",TODAY(),I495))-MONTH(H495)</x:f>
        <x:v>105</x:v>
      </x:c>
      <x:c r="M495" s="36" t="n">
        <x:f>DATE(YEAR(H495),MONTH(H495),1)</x:f>
        <x:v>43009</x:v>
      </x:c>
      <x:c r="N495" s="36" t="str">
        <x:f>IF(I495="","",DATE(YEAR(I495),MONTH(I495),1))</x:f>
      </x:c>
    </x:row>
    <x:row r="496">
      <x:c r="A496" s="16" t="str">
        <x:v>HG-01495</x:v>
      </x:c>
      <x:c r="B496" s="16" t="str">
        <x:v>Tanvir Hossain</x:v>
      </x:c>
      <x:c r="C496" s="16" t="str">
        <x:v>Male</x:v>
      </x:c>
      <x:c r="D496" s="16" t="str">
        <x:v>Production</x:v>
      </x:c>
      <x:c r="E496" s="16" t="str">
        <x:v>Assistant Manager - Production</x:v>
      </x:c>
      <x:c r="F496" s="16" t="str">
        <x:v>Gazipur Plant</x:v>
      </x:c>
      <x:c r="G496" s="16" t="str">
        <x:v>Permanent</x:v>
      </x:c>
      <x:c r="H496" s="35" t="n">
        <x:v>43670</x:v>
      </x:c>
      <x:c r="I496" s="35" t="n">
        <x:v>45826</x:v>
      </x:c>
      <x:c r="J496" s="16" t="str">
        <x:v>Performance</x:v>
      </x:c>
      <x:c r="K496" s="16" t="str">
        <x:f>IF(I496="","Active","Exited")</x:f>
        <x:v>Exited</x:v>
      </x:c>
      <x:c r="L496" s="16" t="n">
        <x:f>(YEAR(IF(I496="",TODAY(),I496))-YEAR(H496))*12+MONTH(IF(I496="",TODAY(),I496))-MONTH(H496)</x:f>
        <x:v>71</x:v>
      </x:c>
      <x:c r="M496" s="36" t="n">
        <x:f>DATE(YEAR(H496),MONTH(H496),1)</x:f>
        <x:v>43647</x:v>
      </x:c>
      <x:c r="N496" s="36" t="n">
        <x:f>IF(I496="","",DATE(YEAR(I496),MONTH(I496),1))</x:f>
        <x:v>45809</x:v>
      </x:c>
    </x:row>
    <x:row r="497">
      <x:c r="A497" s="16" t="str">
        <x:v>HG-01496</x:v>
      </x:c>
      <x:c r="B497" s="16" t="str">
        <x:v>Mizan Alam</x:v>
      </x:c>
      <x:c r="C497" s="16" t="str">
        <x:v>Male</x:v>
      </x:c>
      <x:c r="D497" s="16" t="str">
        <x:v>Production</x:v>
      </x:c>
      <x:c r="E497" s="16" t="str">
        <x:v>Production Operator</x:v>
      </x:c>
      <x:c r="F497" s="16" t="str">
        <x:v>Chattogram Office</x:v>
      </x:c>
      <x:c r="G497" s="16" t="str">
        <x:v>Probation</x:v>
      </x:c>
      <x:c r="H497" s="35" t="n">
        <x:v>43264</x:v>
      </x:c>
      <x:c r="I497" s="35"/>
      <x:c r="J497" s="16" t="str"/>
      <x:c r="K497" s="16" t="str">
        <x:f>IF(I497="","Active","Exited")</x:f>
        <x:v>Active</x:v>
      </x:c>
      <x:c r="L497" s="16" t="n">
        <x:f>(YEAR(IF(I497="",TODAY(),I497))-YEAR(H497))*12+MONTH(IF(I497="",TODAY(),I497))-MONTH(H497)</x:f>
        <x:v>97</x:v>
      </x:c>
      <x:c r="M497" s="36" t="n">
        <x:f>DATE(YEAR(H497),MONTH(H497),1)</x:f>
        <x:v>43252</x:v>
      </x:c>
      <x:c r="N497" s="36" t="str">
        <x:f>IF(I497="","",DATE(YEAR(I497),MONTH(I497),1))</x:f>
      </x:c>
    </x:row>
    <x:row r="498">
      <x:c r="A498" s="16" t="str">
        <x:v>HG-01497</x:v>
      </x:c>
      <x:c r="B498" s="16" t="str">
        <x:v>Sajid Hasan</x:v>
      </x:c>
      <x:c r="C498" s="16" t="str">
        <x:v>Male</x:v>
      </x:c>
      <x:c r="D498" s="16" t="str">
        <x:v>Supply Chain</x:v>
      </x:c>
      <x:c r="E498" s="16" t="str">
        <x:v>Assistant Manager - Supply Chain</x:v>
      </x:c>
      <x:c r="F498" s="16" t="str">
        <x:v>Gazipur Plant</x:v>
      </x:c>
      <x:c r="G498" s="16" t="str">
        <x:v>Permanent</x:v>
      </x:c>
      <x:c r="H498" s="35" t="n">
        <x:v>44089</x:v>
      </x:c>
      <x:c r="I498" s="35" t="n">
        <x:v>46059</x:v>
      </x:c>
      <x:c r="J498" s="16" t="str">
        <x:v>Work-Life Balance</x:v>
      </x:c>
      <x:c r="K498" s="16" t="str">
        <x:f>IF(I498="","Active","Exited")</x:f>
        <x:v>Exited</x:v>
      </x:c>
      <x:c r="L498" s="16" t="n">
        <x:f>(YEAR(IF(I498="",TODAY(),I498))-YEAR(H498))*12+MONTH(IF(I498="",TODAY(),I498))-MONTH(H498)</x:f>
        <x:v>65</x:v>
      </x:c>
      <x:c r="M498" s="36" t="n">
        <x:f>DATE(YEAR(H498),MONTH(H498),1)</x:f>
        <x:v>44075</x:v>
      </x:c>
      <x:c r="N498" s="36" t="n">
        <x:f>IF(I498="","",DATE(YEAR(I498),MONTH(I498),1))</x:f>
        <x:v>46054</x:v>
      </x:c>
    </x:row>
    <x:row r="499">
      <x:c r="A499" s="16" t="str">
        <x:v>HG-01498</x:v>
      </x:c>
      <x:c r="B499" s="16" t="str">
        <x:v>Nabila Islam</x:v>
      </x:c>
      <x:c r="C499" s="16" t="str">
        <x:v>Female</x:v>
      </x:c>
      <x:c r="D499" s="16" t="str">
        <x:v>Production</x:v>
      </x:c>
      <x:c r="E499" s="16" t="str">
        <x:v>Assistant Manager - Production</x:v>
      </x:c>
      <x:c r="F499" s="16" t="str">
        <x:v>Chattogram Office</x:v>
      </x:c>
      <x:c r="G499" s="16" t="str">
        <x:v>Permanent</x:v>
      </x:c>
      <x:c r="H499" s="35" t="n">
        <x:v>45626</x:v>
      </x:c>
      <x:c r="I499" s="35"/>
      <x:c r="J499" s="16" t="str"/>
      <x:c r="K499" s="16" t="str">
        <x:f>IF(I499="","Active","Exited")</x:f>
        <x:v>Active</x:v>
      </x:c>
      <x:c r="L499" s="16" t="n">
        <x:f>(YEAR(IF(I499="",TODAY(),I499))-YEAR(H499))*12+MONTH(IF(I499="",TODAY(),I499))-MONTH(H499)</x:f>
        <x:v>20</x:v>
      </x:c>
      <x:c r="M499" s="36" t="n">
        <x:f>DATE(YEAR(H499),MONTH(H499),1)</x:f>
        <x:v>45597</x:v>
      </x:c>
      <x:c r="N499" s="36" t="str">
        <x:f>IF(I499="","",DATE(YEAR(I499),MONTH(I499),1))</x:f>
      </x:c>
    </x:row>
    <x:row r="500">
      <x:c r="A500" s="16" t="str">
        <x:v>HG-01499</x:v>
      </x:c>
      <x:c r="B500" s="16" t="str">
        <x:v>Mahmud Begum</x:v>
      </x:c>
      <x:c r="C500" s="16" t="str">
        <x:v>Male</x:v>
      </x:c>
      <x:c r="D500" s="16" t="str">
        <x:v>Production</x:v>
      </x:c>
      <x:c r="E500" s="16" t="str">
        <x:v>Production Officer</x:v>
      </x:c>
      <x:c r="F500" s="16" t="str">
        <x:v>Dhaka Head Office</x:v>
      </x:c>
      <x:c r="G500" s="16" t="str">
        <x:v>Permanent</x:v>
      </x:c>
      <x:c r="H500" s="35" t="n">
        <x:v>43461</x:v>
      </x:c>
      <x:c r="I500" s="35"/>
      <x:c r="J500" s="16" t="str"/>
      <x:c r="K500" s="16" t="str">
        <x:f>IF(I500="","Active","Exited")</x:f>
        <x:v>Active</x:v>
      </x:c>
      <x:c r="L500" s="16" t="n">
        <x:f>(YEAR(IF(I500="",TODAY(),I500))-YEAR(H500))*12+MONTH(IF(I500="",TODAY(),I500))-MONTH(H500)</x:f>
        <x:v>91</x:v>
      </x:c>
      <x:c r="M500" s="36" t="n">
        <x:f>DATE(YEAR(H500),MONTH(H500),1)</x:f>
        <x:v>43435</x:v>
      </x:c>
      <x:c r="N500" s="36" t="str">
        <x:f>IF(I500="","",DATE(YEAR(I500),MONTH(I500),1))</x:f>
      </x:c>
    </x:row>
    <x:row r="501">
      <x:c r="A501" s="16" t="str">
        <x:v>HG-01500</x:v>
      </x:c>
      <x:c r="B501" s="16" t="str">
        <x:v>Sharmin Akter</x:v>
      </x:c>
      <x:c r="C501" s="16" t="str">
        <x:v>Female</x:v>
      </x:c>
      <x:c r="D501" s="16" t="str">
        <x:v>Finance &amp; Accounts</x:v>
      </x:c>
      <x:c r="E501" s="16" t="str">
        <x:v>Payroll Executive</x:v>
      </x:c>
      <x:c r="F501" s="16" t="str">
        <x:v>Dhaka Head Office</x:v>
      </x:c>
      <x:c r="G501" s="16" t="str">
        <x:v>Permanent</x:v>
      </x:c>
      <x:c r="H501" s="35" t="n">
        <x:v>45370</x:v>
      </x:c>
      <x:c r="I501" s="35" t="n">
        <x:v>45963</x:v>
      </x:c>
      <x:c r="J501" s="16" t="str">
        <x:v>End of Contract</x:v>
      </x:c>
      <x:c r="K501" s="16" t="str">
        <x:f>IF(I501="","Active","Exited")</x:f>
        <x:v>Exited</x:v>
      </x:c>
      <x:c r="L501" s="16" t="n">
        <x:f>(YEAR(IF(I501="",TODAY(),I501))-YEAR(H501))*12+MONTH(IF(I501="",TODAY(),I501))-MONTH(H501)</x:f>
        <x:v>20</x:v>
      </x:c>
      <x:c r="M501" s="36" t="n">
        <x:f>DATE(YEAR(H501),MONTH(H501),1)</x:f>
        <x:v>45352</x:v>
      </x:c>
      <x:c r="N501" s="36" t="n">
        <x:f>IF(I501="","",DATE(YEAR(I501),MONTH(I501),1))</x:f>
        <x:v>45962</x:v>
      </x:c>
    </x:row>
    <x:row r="502">
      <x:c r="A502" s="16" t="str">
        <x:v>HG-01501</x:v>
      </x:c>
      <x:c r="B502" s="16" t="str">
        <x:v>Tanjila Miah</x:v>
      </x:c>
      <x:c r="C502" s="16" t="str">
        <x:v>Female</x:v>
      </x:c>
      <x:c r="D502" s="16" t="str">
        <x:v>Production</x:v>
      </x:c>
      <x:c r="E502" s="16" t="str">
        <x:v>Production Operator</x:v>
      </x:c>
      <x:c r="F502" s="16" t="str">
        <x:v>Narayanganj Plant</x:v>
      </x:c>
      <x:c r="G502" s="16" t="str">
        <x:v>Permanent</x:v>
      </x:c>
      <x:c r="H502" s="35" t="n">
        <x:v>44592</x:v>
      </x:c>
      <x:c r="I502" s="35" t="n">
        <x:v>45967</x:v>
      </x:c>
      <x:c r="J502" s="16" t="str">
        <x:v>Better Opportunity</x:v>
      </x:c>
      <x:c r="K502" s="16" t="str">
        <x:f>IF(I502="","Active","Exited")</x:f>
        <x:v>Exited</x:v>
      </x:c>
      <x:c r="L502" s="16" t="n">
        <x:f>(YEAR(IF(I502="",TODAY(),I502))-YEAR(H502))*12+MONTH(IF(I502="",TODAY(),I502))-MONTH(H502)</x:f>
        <x:v>46</x:v>
      </x:c>
      <x:c r="M502" s="36" t="n">
        <x:f>DATE(YEAR(H502),MONTH(H502),1)</x:f>
        <x:v>44562</x:v>
      </x:c>
      <x:c r="N502" s="36" t="n">
        <x:f>IF(I502="","",DATE(YEAR(I502),MONTH(I502),1))</x:f>
        <x:v>45962</x:v>
      </x:c>
    </x:row>
    <x:row r="503">
      <x:c r="A503" s="16" t="str">
        <x:v>HG-01502</x:v>
      </x:c>
      <x:c r="B503" s="16" t="str">
        <x:v>Asif Sarker</x:v>
      </x:c>
      <x:c r="C503" s="16" t="str">
        <x:v>Male</x:v>
      </x:c>
      <x:c r="D503" s="16" t="str">
        <x:v>Sales &amp; Marketing</x:v>
      </x:c>
      <x:c r="E503" s="16" t="str">
        <x:v>Key Account Executive</x:v>
      </x:c>
      <x:c r="F503" s="16" t="str">
        <x:v>Dhaka Head Office</x:v>
      </x:c>
      <x:c r="G503" s="16" t="str">
        <x:v>Contract</x:v>
      </x:c>
      <x:c r="H503" s="35" t="n">
        <x:v>45458</x:v>
      </x:c>
      <x:c r="I503" s="35"/>
      <x:c r="J503" s="16" t="str"/>
      <x:c r="K503" s="16" t="str">
        <x:f>IF(I503="","Active","Exited")</x:f>
        <x:v>Active</x:v>
      </x:c>
      <x:c r="L503" s="16" t="n">
        <x:f>(YEAR(IF(I503="",TODAY(),I503))-YEAR(H503))*12+MONTH(IF(I503="",TODAY(),I503))-MONTH(H503)</x:f>
        <x:v>25</x:v>
      </x:c>
      <x:c r="M503" s="36" t="n">
        <x:f>DATE(YEAR(H503),MONTH(H503),1)</x:f>
        <x:v>45444</x:v>
      </x:c>
      <x:c r="N503" s="36" t="str">
        <x:f>IF(I503="","",DATE(YEAR(I503),MONTH(I503),1))</x:f>
      </x:c>
    </x:row>
    <x:row r="504">
      <x:c r="A504" s="16" t="str">
        <x:v>HG-01503</x:v>
      </x:c>
      <x:c r="B504" s="16" t="str">
        <x:v>Imran Sarker</x:v>
      </x:c>
      <x:c r="C504" s="16" t="str">
        <x:v>Male</x:v>
      </x:c>
      <x:c r="D504" s="16" t="str">
        <x:v>Human Resources</x:v>
      </x:c>
      <x:c r="E504" s="16" t="str">
        <x:v>HR Executive</x:v>
      </x:c>
      <x:c r="F504" s="16" t="str">
        <x:v>Dhaka Head Office</x:v>
      </x:c>
      <x:c r="G504" s="16" t="str">
        <x:v>Permanent</x:v>
      </x:c>
      <x:c r="H504" s="35" t="n">
        <x:v>45170</x:v>
      </x:c>
      <x:c r="I504" s="35"/>
      <x:c r="J504" s="16" t="str"/>
      <x:c r="K504" s="16" t="str">
        <x:f>IF(I504="","Active","Exited")</x:f>
        <x:v>Active</x:v>
      </x:c>
      <x:c r="L504" s="16" t="n">
        <x:f>(YEAR(IF(I504="",TODAY(),I504))-YEAR(H504))*12+MONTH(IF(I504="",TODAY(),I504))-MONTH(H504)</x:f>
        <x:v>34</x:v>
      </x:c>
      <x:c r="M504" s="36" t="n">
        <x:f>DATE(YEAR(H504),MONTH(H504),1)</x:f>
        <x:v>45170</x:v>
      </x:c>
      <x:c r="N504" s="36" t="str">
        <x:f>IF(I504="","",DATE(YEAR(I504),MONTH(I504),1))</x:f>
      </x:c>
    </x:row>
    <x:row r="505">
      <x:c r="A505" s="16" t="str">
        <x:v>HG-01504</x:v>
      </x:c>
      <x:c r="B505" s="16" t="str">
        <x:v>Nusrat Uddin</x:v>
      </x:c>
      <x:c r="C505" s="16" t="str">
        <x:v>Female</x:v>
      </x:c>
      <x:c r="D505" s="16" t="str">
        <x:v>Information Technology</x:v>
      </x:c>
      <x:c r="E505" s="16" t="str">
        <x:v>System Administrator</x:v>
      </x:c>
      <x:c r="F505" s="16" t="str">
        <x:v>Chattogram Office</x:v>
      </x:c>
      <x:c r="G505" s="16" t="str">
        <x:v>Permanent</x:v>
      </x:c>
      <x:c r="H505" s="35" t="n">
        <x:v>45396</x:v>
      </x:c>
      <x:c r="I505" s="35" t="n">
        <x:v>45683</x:v>
      </x:c>
      <x:c r="J505" s="16" t="str">
        <x:v>Compensation &amp; Benefits</x:v>
      </x:c>
      <x:c r="K505" s="16" t="str">
        <x:f>IF(I505="","Active","Exited")</x:f>
        <x:v>Exited</x:v>
      </x:c>
      <x:c r="L505" s="16" t="n">
        <x:f>(YEAR(IF(I505="",TODAY(),I505))-YEAR(H505))*12+MONTH(IF(I505="",TODAY(),I505))-MONTH(H505)</x:f>
        <x:v>9</x:v>
      </x:c>
      <x:c r="M505" s="36" t="n">
        <x:f>DATE(YEAR(H505),MONTH(H505),1)</x:f>
        <x:v>45383</x:v>
      </x:c>
      <x:c r="N505" s="36" t="n">
        <x:f>IF(I505="","",DATE(YEAR(I505),MONTH(I505),1))</x:f>
        <x:v>45658</x:v>
      </x:c>
    </x:row>
    <x:row r="506">
      <x:c r="A506" s="16" t="str">
        <x:v>HG-01505</x:v>
      </x:c>
      <x:c r="B506" s="16" t="str">
        <x:v>Mizan Ahmed</x:v>
      </x:c>
      <x:c r="C506" s="16" t="str">
        <x:v>Male</x:v>
      </x:c>
      <x:c r="D506" s="16" t="str">
        <x:v>Quality Assurance</x:v>
      </x:c>
      <x:c r="E506" s="16" t="str">
        <x:v>Assistant Manager - QA</x:v>
      </x:c>
      <x:c r="F506" s="16" t="str">
        <x:v>Narayanganj Plant</x:v>
      </x:c>
      <x:c r="G506" s="16" t="str">
        <x:v>Contract</x:v>
      </x:c>
      <x:c r="H506" s="35" t="n">
        <x:v>44096</x:v>
      </x:c>
      <x:c r="I506" s="35" t="n">
        <x:v>45986</x:v>
      </x:c>
      <x:c r="J506" s="16" t="str">
        <x:v>End of Contract</x:v>
      </x:c>
      <x:c r="K506" s="16" t="str">
        <x:f>IF(I506="","Active","Exited")</x:f>
        <x:v>Exited</x:v>
      </x:c>
      <x:c r="L506" s="16" t="n">
        <x:f>(YEAR(IF(I506="",TODAY(),I506))-YEAR(H506))*12+MONTH(IF(I506="",TODAY(),I506))-MONTH(H506)</x:f>
        <x:v>62</x:v>
      </x:c>
      <x:c r="M506" s="36" t="n">
        <x:f>DATE(YEAR(H506),MONTH(H506),1)</x:f>
        <x:v>44075</x:v>
      </x:c>
      <x:c r="N506" s="36" t="n">
        <x:f>IF(I506="","",DATE(YEAR(I506),MONTH(I506),1))</x:f>
        <x:v>45962</x:v>
      </x:c>
    </x:row>
    <x:row r="507">
      <x:c r="A507" s="16" t="str">
        <x:v>HG-01506</x:v>
      </x:c>
      <x:c r="B507" s="16" t="str">
        <x:v>Foysal Sarker</x:v>
      </x:c>
      <x:c r="C507" s="16" t="str">
        <x:v>Male</x:v>
      </x:c>
      <x:c r="D507" s="16" t="str">
        <x:v>Quality Assurance</x:v>
      </x:c>
      <x:c r="E507" s="16" t="str">
        <x:v>Assistant Manager - QA</x:v>
      </x:c>
      <x:c r="F507" s="16" t="str">
        <x:v>Narayanganj Plant</x:v>
      </x:c>
      <x:c r="G507" s="16" t="str">
        <x:v>Permanent</x:v>
      </x:c>
      <x:c r="H507" s="35" t="n">
        <x:v>45280</x:v>
      </x:c>
      <x:c r="I507" s="35"/>
      <x:c r="J507" s="16" t="str"/>
      <x:c r="K507" s="16" t="str">
        <x:f>IF(I507="","Active","Exited")</x:f>
        <x:v>Active</x:v>
      </x:c>
      <x:c r="L507" s="16" t="n">
        <x:f>(YEAR(IF(I507="",TODAY(),I507))-YEAR(H507))*12+MONTH(IF(I507="",TODAY(),I507))-MONTH(H507)</x:f>
        <x:v>31</x:v>
      </x:c>
      <x:c r="M507" s="36" t="n">
        <x:f>DATE(YEAR(H507),MONTH(H507),1)</x:f>
        <x:v>45261</x:v>
      </x:c>
      <x:c r="N507" s="36" t="str">
        <x:f>IF(I507="","",DATE(YEAR(I507),MONTH(I507),1))</x:f>
      </x:c>
    </x:row>
    <x:row r="508">
      <x:c r="A508" s="16" t="str">
        <x:v>HG-01507</x:v>
      </x:c>
      <x:c r="B508" s="16" t="str">
        <x:v>Nazmul Khan</x:v>
      </x:c>
      <x:c r="C508" s="16" t="str">
        <x:v>Male</x:v>
      </x:c>
      <x:c r="D508" s="16" t="str">
        <x:v>Production</x:v>
      </x:c>
      <x:c r="E508" s="16" t="str">
        <x:v>Production Operator</x:v>
      </x:c>
      <x:c r="F508" s="16" t="str">
        <x:v>Narayanganj Plant</x:v>
      </x:c>
      <x:c r="G508" s="16" t="str">
        <x:v>Permanent</x:v>
      </x:c>
      <x:c r="H508" s="35" t="n">
        <x:v>44756</x:v>
      </x:c>
      <x:c r="I508" s="35" t="n">
        <x:v>45988</x:v>
      </x:c>
      <x:c r="J508" s="16" t="str">
        <x:v>Performance</x:v>
      </x:c>
      <x:c r="K508" s="16" t="str">
        <x:f>IF(I508="","Active","Exited")</x:f>
        <x:v>Exited</x:v>
      </x:c>
      <x:c r="L508" s="16" t="n">
        <x:f>(YEAR(IF(I508="",TODAY(),I508))-YEAR(H508))*12+MONTH(IF(I508="",TODAY(),I508))-MONTH(H508)</x:f>
        <x:v>40</x:v>
      </x:c>
      <x:c r="M508" s="36" t="n">
        <x:f>DATE(YEAR(H508),MONTH(H508),1)</x:f>
        <x:v>44743</x:v>
      </x:c>
      <x:c r="N508" s="36" t="n">
        <x:f>IF(I508="","",DATE(YEAR(I508),MONTH(I508),1))</x:f>
        <x:v>45962</x:v>
      </x:c>
    </x:row>
    <x:row r="509">
      <x:c r="A509" s="16" t="str">
        <x:v>HG-01508</x:v>
      </x:c>
      <x:c r="B509" s="16" t="str">
        <x:v>Tanvir Hasan</x:v>
      </x:c>
      <x:c r="C509" s="16" t="str">
        <x:v>Male</x:v>
      </x:c>
      <x:c r="D509" s="16" t="str">
        <x:v>Production</x:v>
      </x:c>
      <x:c r="E509" s="16" t="str">
        <x:v>Production Operator</x:v>
      </x:c>
      <x:c r="F509" s="16" t="str">
        <x:v>Gazipur Plant</x:v>
      </x:c>
      <x:c r="G509" s="16" t="str">
        <x:v>Permanent</x:v>
      </x:c>
      <x:c r="H509" s="35" t="n">
        <x:v>43395</x:v>
      </x:c>
      <x:c r="I509" s="35"/>
      <x:c r="J509" s="16" t="str"/>
      <x:c r="K509" s="16" t="str">
        <x:f>IF(I509="","Active","Exited")</x:f>
        <x:v>Active</x:v>
      </x:c>
      <x:c r="L509" s="16" t="n">
        <x:f>(YEAR(IF(I509="",TODAY(),I509))-YEAR(H509))*12+MONTH(IF(I509="",TODAY(),I509))-MONTH(H509)</x:f>
        <x:v>93</x:v>
      </x:c>
      <x:c r="M509" s="36" t="n">
        <x:f>DATE(YEAR(H509),MONTH(H509),1)</x:f>
        <x:v>43374</x:v>
      </x:c>
      <x:c r="N509" s="36" t="str">
        <x:f>IF(I509="","",DATE(YEAR(I509),MONTH(I509),1))</x:f>
      </x:c>
    </x:row>
    <x:row r="510">
      <x:c r="A510" s="16" t="str">
        <x:v>HG-01509</x:v>
      </x:c>
      <x:c r="B510" s="16" t="str">
        <x:v>Tasnim Alam</x:v>
      </x:c>
      <x:c r="C510" s="16" t="str">
        <x:v>Female</x:v>
      </x:c>
      <x:c r="D510" s="16" t="str">
        <x:v>Administration</x:v>
      </x:c>
      <x:c r="E510" s="16" t="str">
        <x:v>Assistant Manager - Admin</x:v>
      </x:c>
      <x:c r="F510" s="16" t="str">
        <x:v>Narayanganj Plant</x:v>
      </x:c>
      <x:c r="G510" s="16" t="str">
        <x:v>Permanent</x:v>
      </x:c>
      <x:c r="H510" s="35" t="n">
        <x:v>44359</x:v>
      </x:c>
      <x:c r="I510" s="35" t="n">
        <x:v>45688</x:v>
      </x:c>
      <x:c r="J510" s="16" t="str">
        <x:v>Performance</x:v>
      </x:c>
      <x:c r="K510" s="16" t="str">
        <x:f>IF(I510="","Active","Exited")</x:f>
        <x:v>Exited</x:v>
      </x:c>
      <x:c r="L510" s="16" t="n">
        <x:f>(YEAR(IF(I510="",TODAY(),I510))-YEAR(H510))*12+MONTH(IF(I510="",TODAY(),I510))-MONTH(H510)</x:f>
        <x:v>43</x:v>
      </x:c>
      <x:c r="M510" s="36" t="n">
        <x:f>DATE(YEAR(H510),MONTH(H510),1)</x:f>
        <x:v>44348</x:v>
      </x:c>
      <x:c r="N510" s="36" t="n">
        <x:f>IF(I510="","",DATE(YEAR(I510),MONTH(I510),1))</x:f>
        <x:v>45658</x:v>
      </x:c>
    </x:row>
    <x:row r="511">
      <x:c r="A511" s="16" t="str">
        <x:v>HG-01510</x:v>
      </x:c>
      <x:c r="B511" s="16" t="str">
        <x:v>Mim Alam</x:v>
      </x:c>
      <x:c r="C511" s="16" t="str">
        <x:v>Female</x:v>
      </x:c>
      <x:c r="D511" s="16" t="str">
        <x:v>Supply Chain</x:v>
      </x:c>
      <x:c r="E511" s="16" t="str">
        <x:v>Inventory Officer</x:v>
      </x:c>
      <x:c r="F511" s="16" t="str">
        <x:v>Gazipur Plant</x:v>
      </x:c>
      <x:c r="G511" s="16" t="str">
        <x:v>Permanent</x:v>
      </x:c>
      <x:c r="H511" s="35" t="n">
        <x:v>43478</x:v>
      </x:c>
      <x:c r="I511" s="35"/>
      <x:c r="J511" s="16" t="str"/>
      <x:c r="K511" s="16" t="str">
        <x:f>IF(I511="","Active","Exited")</x:f>
        <x:v>Active</x:v>
      </x:c>
      <x:c r="L511" s="16" t="n">
        <x:f>(YEAR(IF(I511="",TODAY(),I511))-YEAR(H511))*12+MONTH(IF(I511="",TODAY(),I511))-MONTH(H511)</x:f>
        <x:v>90</x:v>
      </x:c>
      <x:c r="M511" s="36" t="n">
        <x:f>DATE(YEAR(H511),MONTH(H511),1)</x:f>
        <x:v>43466</x:v>
      </x:c>
      <x:c r="N511" s="36" t="str">
        <x:f>IF(I511="","",DATE(YEAR(I511),MONTH(I511),1))</x:f>
      </x:c>
    </x:row>
    <x:row r="512">
      <x:c r="A512" s="16" t="str">
        <x:v>HG-01511</x:v>
      </x:c>
      <x:c r="B512" s="16" t="str">
        <x:v>Asif Sarker</x:v>
      </x:c>
      <x:c r="C512" s="16" t="str">
        <x:v>Male</x:v>
      </x:c>
      <x:c r="D512" s="16" t="str">
        <x:v>Production</x:v>
      </x:c>
      <x:c r="E512" s="16" t="str">
        <x:v>Production Operator</x:v>
      </x:c>
      <x:c r="F512" s="16" t="str">
        <x:v>Narayanganj Plant</x:v>
      </x:c>
      <x:c r="G512" s="16" t="str">
        <x:v>Permanent</x:v>
      </x:c>
      <x:c r="H512" s="35" t="n">
        <x:v>43132</x:v>
      </x:c>
      <x:c r="I512" s="35"/>
      <x:c r="J512" s="16" t="str"/>
      <x:c r="K512" s="16" t="str">
        <x:f>IF(I512="","Active","Exited")</x:f>
        <x:v>Active</x:v>
      </x:c>
      <x:c r="L512" s="16" t="n">
        <x:f>(YEAR(IF(I512="",TODAY(),I512))-YEAR(H512))*12+MONTH(IF(I512="",TODAY(),I512))-MONTH(H512)</x:f>
        <x:v>101</x:v>
      </x:c>
      <x:c r="M512" s="36" t="n">
        <x:f>DATE(YEAR(H512),MONTH(H512),1)</x:f>
        <x:v>43132</x:v>
      </x:c>
      <x:c r="N512" s="36" t="str">
        <x:f>IF(I512="","",DATE(YEAR(I512),MONTH(I512),1))</x:f>
      </x:c>
    </x:row>
    <x:row r="513">
      <x:c r="A513" s="16" t="str">
        <x:v>HG-01512</x:v>
      </x:c>
      <x:c r="B513" s="16" t="str">
        <x:v>Tasnim Karim</x:v>
      </x:c>
      <x:c r="C513" s="16" t="str">
        <x:v>Female</x:v>
      </x:c>
      <x:c r="D513" s="16" t="str">
        <x:v>Production</x:v>
      </x:c>
      <x:c r="E513" s="16" t="str">
        <x:v>Line Supervisor</x:v>
      </x:c>
      <x:c r="F513" s="16" t="str">
        <x:v>Narayanganj Plant</x:v>
      </x:c>
      <x:c r="G513" s="16" t="str">
        <x:v>Permanent</x:v>
      </x:c>
      <x:c r="H513" s="35" t="n">
        <x:v>43952</x:v>
      </x:c>
      <x:c r="I513" s="35" t="n">
        <x:v>45836</x:v>
      </x:c>
      <x:c r="J513" s="16" t="str">
        <x:v>Career Growth</x:v>
      </x:c>
      <x:c r="K513" s="16" t="str">
        <x:f>IF(I513="","Active","Exited")</x:f>
        <x:v>Exited</x:v>
      </x:c>
      <x:c r="L513" s="16" t="n">
        <x:f>(YEAR(IF(I513="",TODAY(),I513))-YEAR(H513))*12+MONTH(IF(I513="",TODAY(),I513))-MONTH(H513)</x:f>
        <x:v>61</x:v>
      </x:c>
      <x:c r="M513" s="36" t="n">
        <x:f>DATE(YEAR(H513),MONTH(H513),1)</x:f>
        <x:v>43952</x:v>
      </x:c>
      <x:c r="N513" s="36" t="n">
        <x:f>IF(I513="","",DATE(YEAR(I513),MONTH(I513),1))</x:f>
        <x:v>45809</x:v>
      </x:c>
    </x:row>
    <x:row r="514">
      <x:c r="A514" s="16" t="str">
        <x:v>HG-01513</x:v>
      </x:c>
      <x:c r="B514" s="16" t="str">
        <x:v>Sajid Akter</x:v>
      </x:c>
      <x:c r="C514" s="16" t="str">
        <x:v>Male</x:v>
      </x:c>
      <x:c r="D514" s="16" t="str">
        <x:v>Administration</x:v>
      </x:c>
      <x:c r="E514" s="16" t="str">
        <x:v>Senior Admin Executive</x:v>
      </x:c>
      <x:c r="F514" s="16" t="str">
        <x:v>Dhaka Head Office</x:v>
      </x:c>
      <x:c r="G514" s="16" t="str">
        <x:v>Permanent</x:v>
      </x:c>
      <x:c r="H514" s="35" t="n">
        <x:v>45425</x:v>
      </x:c>
      <x:c r="I514" s="35"/>
      <x:c r="J514" s="16" t="str"/>
      <x:c r="K514" s="16" t="str">
        <x:f>IF(I514="","Active","Exited")</x:f>
        <x:v>Active</x:v>
      </x:c>
      <x:c r="L514" s="16" t="n">
        <x:f>(YEAR(IF(I514="",TODAY(),I514))-YEAR(H514))*12+MONTH(IF(I514="",TODAY(),I514))-MONTH(H514)</x:f>
        <x:v>26</x:v>
      </x:c>
      <x:c r="M514" s="36" t="n">
        <x:f>DATE(YEAR(H514),MONTH(H514),1)</x:f>
        <x:v>45413</x:v>
      </x:c>
      <x:c r="N514" s="36" t="str">
        <x:f>IF(I514="","",DATE(YEAR(I514),MONTH(I514),1))</x:f>
      </x:c>
    </x:row>
    <x:row r="515">
      <x:c r="A515" s="16" t="str">
        <x:v>HG-01514</x:v>
      </x:c>
      <x:c r="B515" s="16" t="str">
        <x:v>Ayesha Uddin</x:v>
      </x:c>
      <x:c r="C515" s="16" t="str">
        <x:v>Female</x:v>
      </x:c>
      <x:c r="D515" s="16" t="str">
        <x:v>Production</x:v>
      </x:c>
      <x:c r="E515" s="16" t="str">
        <x:v>Production Officer</x:v>
      </x:c>
      <x:c r="F515" s="16" t="str">
        <x:v>Dhaka Head Office</x:v>
      </x:c>
      <x:c r="G515" s="16" t="str">
        <x:v>Permanent</x:v>
      </x:c>
      <x:c r="H515" s="35" t="n">
        <x:v>44824</x:v>
      </x:c>
      <x:c r="I515" s="35" t="n">
        <x:v>45898</x:v>
      </x:c>
      <x:c r="J515" s="16" t="str">
        <x:v>Performance</x:v>
      </x:c>
      <x:c r="K515" s="16" t="str">
        <x:f>IF(I515="","Active","Exited")</x:f>
        <x:v>Exited</x:v>
      </x:c>
      <x:c r="L515" s="16" t="n">
        <x:f>(YEAR(IF(I515="",TODAY(),I515))-YEAR(H515))*12+MONTH(IF(I515="",TODAY(),I515))-MONTH(H515)</x:f>
        <x:v>35</x:v>
      </x:c>
      <x:c r="M515" s="36" t="n">
        <x:f>DATE(YEAR(H515),MONTH(H515),1)</x:f>
        <x:v>44805</x:v>
      </x:c>
      <x:c r="N515" s="36" t="n">
        <x:f>IF(I515="","",DATE(YEAR(I515),MONTH(I515),1))</x:f>
        <x:v>45870</x:v>
      </x:c>
    </x:row>
    <x:row r="516">
      <x:c r="A516" s="16" t="str">
        <x:v>HG-01515</x:v>
      </x:c>
      <x:c r="B516" s="16" t="str">
        <x:v>Rashed Begum</x:v>
      </x:c>
      <x:c r="C516" s="16" t="str">
        <x:v>Male</x:v>
      </x:c>
      <x:c r="D516" s="16" t="str">
        <x:v>Quality Assurance</x:v>
      </x:c>
      <x:c r="E516" s="16" t="str">
        <x:v>Assistant Manager - QA</x:v>
      </x:c>
      <x:c r="F516" s="16" t="str">
        <x:v>Narayanganj Plant</x:v>
      </x:c>
      <x:c r="G516" s="16" t="str">
        <x:v>Permanent</x:v>
      </x:c>
      <x:c r="H516" s="35" t="n">
        <x:v>43633</x:v>
      </x:c>
      <x:c r="I516" s="35"/>
      <x:c r="J516" s="16" t="str"/>
      <x:c r="K516" s="16" t="str">
        <x:f>IF(I516="","Active","Exited")</x:f>
        <x:v>Active</x:v>
      </x:c>
      <x:c r="L516" s="16" t="n">
        <x:f>(YEAR(IF(I516="",TODAY(),I516))-YEAR(H516))*12+MONTH(IF(I516="",TODAY(),I516))-MONTH(H516)</x:f>
        <x:v>85</x:v>
      </x:c>
      <x:c r="M516" s="36" t="n">
        <x:f>DATE(YEAR(H516),MONTH(H516),1)</x:f>
        <x:v>43617</x:v>
      </x:c>
      <x:c r="N516" s="36" t="str">
        <x:f>IF(I516="","",DATE(YEAR(I516),MONTH(I516),1))</x:f>
      </x:c>
    </x:row>
    <x:row r="517">
      <x:c r="A517" s="16" t="str">
        <x:v>HG-01516</x:v>
      </x:c>
      <x:c r="B517" s="16" t="str">
        <x:v>Maliha Chowdhury</x:v>
      </x:c>
      <x:c r="C517" s="16" t="str">
        <x:v>Female</x:v>
      </x:c>
      <x:c r="D517" s="16" t="str">
        <x:v>Production</x:v>
      </x:c>
      <x:c r="E517" s="16" t="str">
        <x:v>Line Supervisor</x:v>
      </x:c>
      <x:c r="F517" s="16" t="str">
        <x:v>Gazipur Plant</x:v>
      </x:c>
      <x:c r="G517" s="16" t="str">
        <x:v>Contract</x:v>
      </x:c>
      <x:c r="H517" s="35" t="n">
        <x:v>43581</x:v>
      </x:c>
      <x:c r="I517" s="35" t="n">
        <x:v>45964</x:v>
      </x:c>
      <x:c r="J517" s="16" t="str">
        <x:v>End of Contract</x:v>
      </x:c>
      <x:c r="K517" s="16" t="str">
        <x:f>IF(I517="","Active","Exited")</x:f>
        <x:v>Exited</x:v>
      </x:c>
      <x:c r="L517" s="16" t="n">
        <x:f>(YEAR(IF(I517="",TODAY(),I517))-YEAR(H517))*12+MONTH(IF(I517="",TODAY(),I517))-MONTH(H517)</x:f>
        <x:v>79</x:v>
      </x:c>
      <x:c r="M517" s="36" t="n">
        <x:f>DATE(YEAR(H517),MONTH(H517),1)</x:f>
        <x:v>43556</x:v>
      </x:c>
      <x:c r="N517" s="36" t="n">
        <x:f>IF(I517="","",DATE(YEAR(I517),MONTH(I517),1))</x:f>
        <x:v>45962</x:v>
      </x:c>
    </x:row>
    <x:row r="518">
      <x:c r="A518" s="16" t="str">
        <x:v>HG-01517</x:v>
      </x:c>
      <x:c r="B518" s="16" t="str">
        <x:v>Nabila Islam</x:v>
      </x:c>
      <x:c r="C518" s="16" t="str">
        <x:v>Female</x:v>
      </x:c>
      <x:c r="D518" s="16" t="str">
        <x:v>Sales &amp; Marketing</x:v>
      </x:c>
      <x:c r="E518" s="16" t="str">
        <x:v>Sales Executive</x:v>
      </x:c>
      <x:c r="F518" s="16" t="str">
        <x:v>Gazipur Plant</x:v>
      </x:c>
      <x:c r="G518" s="16" t="str">
        <x:v>Contract</x:v>
      </x:c>
      <x:c r="H518" s="35" t="n">
        <x:v>43140</x:v>
      </x:c>
      <x:c r="I518" s="35"/>
      <x:c r="J518" s="16" t="str"/>
      <x:c r="K518" s="16" t="str">
        <x:f>IF(I518="","Active","Exited")</x:f>
        <x:v>Active</x:v>
      </x:c>
      <x:c r="L518" s="16" t="n">
        <x:f>(YEAR(IF(I518="",TODAY(),I518))-YEAR(H518))*12+MONTH(IF(I518="",TODAY(),I518))-MONTH(H518)</x:f>
        <x:v>101</x:v>
      </x:c>
      <x:c r="M518" s="36" t="n">
        <x:f>DATE(YEAR(H518),MONTH(H518),1)</x:f>
        <x:v>43132</x:v>
      </x:c>
      <x:c r="N518" s="36" t="str">
        <x:f>IF(I518="","",DATE(YEAR(I518),MONTH(I518),1))</x:f>
      </x:c>
    </x:row>
    <x:row r="519">
      <x:c r="A519" s="16" t="str">
        <x:v>HG-01518</x:v>
      </x:c>
      <x:c r="B519" s="16" t="str">
        <x:v>Nusrat Khan</x:v>
      </x:c>
      <x:c r="C519" s="16" t="str">
        <x:v>Female</x:v>
      </x:c>
      <x:c r="D519" s="16" t="str">
        <x:v>Finance &amp; Accounts</x:v>
      </x:c>
      <x:c r="E519" s="16" t="str">
        <x:v>Accounts Executive</x:v>
      </x:c>
      <x:c r="F519" s="16" t="str">
        <x:v>Dhaka Head Office</x:v>
      </x:c>
      <x:c r="G519" s="16" t="str">
        <x:v>Permanent</x:v>
      </x:c>
      <x:c r="H519" s="35" t="n">
        <x:v>44601</x:v>
      </x:c>
      <x:c r="I519" s="35" t="n">
        <x:v>46115</x:v>
      </x:c>
      <x:c r="J519" s="16" t="str">
        <x:v>Performance</x:v>
      </x:c>
      <x:c r="K519" s="16" t="str">
        <x:f>IF(I519="","Active","Exited")</x:f>
        <x:v>Exited</x:v>
      </x:c>
      <x:c r="L519" s="16" t="n">
        <x:f>(YEAR(IF(I519="",TODAY(),I519))-YEAR(H519))*12+MONTH(IF(I519="",TODAY(),I519))-MONTH(H519)</x:f>
        <x:v>50</x:v>
      </x:c>
      <x:c r="M519" s="36" t="n">
        <x:f>DATE(YEAR(H519),MONTH(H519),1)</x:f>
        <x:v>44593</x:v>
      </x:c>
      <x:c r="N519" s="36" t="n">
        <x:f>IF(I519="","",DATE(YEAR(I519),MONTH(I519),1))</x:f>
        <x:v>46113</x:v>
      </x:c>
    </x:row>
    <x:row r="520">
      <x:c r="A520" s="16" t="str">
        <x:v>HG-01519</x:v>
      </x:c>
      <x:c r="B520" s="16" t="str">
        <x:v>Nusrat Karim</x:v>
      </x:c>
      <x:c r="C520" s="16" t="str">
        <x:v>Female</x:v>
      </x:c>
      <x:c r="D520" s="16" t="str">
        <x:v>Human Resources</x:v>
      </x:c>
      <x:c r="E520" s="16" t="str">
        <x:v>HR Assistant</x:v>
      </x:c>
      <x:c r="F520" s="16" t="str">
        <x:v>Dhaka Head Office</x:v>
      </x:c>
      <x:c r="G520" s="16" t="str">
        <x:v>Permanent</x:v>
      </x:c>
      <x:c r="H520" s="35" t="n">
        <x:v>45357</x:v>
      </x:c>
      <x:c r="I520" s="35"/>
      <x:c r="J520" s="16" t="str"/>
      <x:c r="K520" s="16" t="str">
        <x:f>IF(I520="","Active","Exited")</x:f>
        <x:v>Active</x:v>
      </x:c>
      <x:c r="L520" s="16" t="n">
        <x:f>(YEAR(IF(I520="",TODAY(),I520))-YEAR(H520))*12+MONTH(IF(I520="",TODAY(),I520))-MONTH(H520)</x:f>
        <x:v>28</x:v>
      </x:c>
      <x:c r="M520" s="36" t="n">
        <x:f>DATE(YEAR(H520),MONTH(H520),1)</x:f>
        <x:v>45352</x:v>
      </x:c>
      <x:c r="N520" s="36" t="str">
        <x:f>IF(I520="","",DATE(YEAR(I520),MONTH(I520),1))</x:f>
      </x:c>
    </x:row>
    <x:row r="521">
      <x:c r="A521" s="16" t="str">
        <x:v>HG-01520</x:v>
      </x:c>
      <x:c r="B521" s="16" t="str">
        <x:v>Mehedi Miah</x:v>
      </x:c>
      <x:c r="C521" s="16" t="str">
        <x:v>Male</x:v>
      </x:c>
      <x:c r="D521" s="16" t="str">
        <x:v>Quality Assurance</x:v>
      </x:c>
      <x:c r="E521" s="16" t="str">
        <x:v>QA Officer</x:v>
      </x:c>
      <x:c r="F521" s="16" t="str">
        <x:v>Chattogram Office</x:v>
      </x:c>
      <x:c r="G521" s="16" t="str">
        <x:v>Permanent</x:v>
      </x:c>
      <x:c r="H521" s="35" t="n">
        <x:v>44943</x:v>
      </x:c>
      <x:c r="I521" s="35"/>
      <x:c r="J521" s="16" t="str"/>
      <x:c r="K521" s="16" t="str">
        <x:f>IF(I521="","Active","Exited")</x:f>
        <x:v>Active</x:v>
      </x:c>
      <x:c r="L521" s="16" t="n">
        <x:f>(YEAR(IF(I521="",TODAY(),I521))-YEAR(H521))*12+MONTH(IF(I521="",TODAY(),I521))-MONTH(H521)</x:f>
        <x:v>42</x:v>
      </x:c>
      <x:c r="M521" s="36" t="n">
        <x:f>DATE(YEAR(H521),MONTH(H521),1)</x:f>
        <x:v>44927</x:v>
      </x:c>
      <x:c r="N521" s="36" t="str">
        <x:f>IF(I521="","",DATE(YEAR(I521),MONTH(I521),1))</x:f>
      </x:c>
    </x:row>
    <x:row r="522">
      <x:c r="A522" s="16" t="str">
        <x:v>HG-01521</x:v>
      </x:c>
      <x:c r="B522" s="16" t="str">
        <x:v>Raisa Uddin</x:v>
      </x:c>
      <x:c r="C522" s="16" t="str">
        <x:v>Female</x:v>
      </x:c>
      <x:c r="D522" s="16" t="str">
        <x:v>Sales &amp; Marketing</x:v>
      </x:c>
      <x:c r="E522" s="16" t="str">
        <x:v>Assistant Manager - Sales</x:v>
      </x:c>
      <x:c r="F522" s="16" t="str">
        <x:v>Dhaka Head Office</x:v>
      </x:c>
      <x:c r="G522" s="16" t="str">
        <x:v>Permanent</x:v>
      </x:c>
      <x:c r="H522" s="35" t="n">
        <x:v>45678</x:v>
      </x:c>
      <x:c r="I522" s="35"/>
      <x:c r="J522" s="16" t="str"/>
      <x:c r="K522" s="16" t="str">
        <x:f>IF(I522="","Active","Exited")</x:f>
        <x:v>Active</x:v>
      </x:c>
      <x:c r="L522" s="16" t="n">
        <x:f>(YEAR(IF(I522="",TODAY(),I522))-YEAR(H522))*12+MONTH(IF(I522="",TODAY(),I522))-MONTH(H522)</x:f>
        <x:v>18</x:v>
      </x:c>
      <x:c r="M522" s="36" t="n">
        <x:f>DATE(YEAR(H522),MONTH(H522),1)</x:f>
        <x:v>45658</x:v>
      </x:c>
      <x:c r="N522" s="36" t="str">
        <x:f>IF(I522="","",DATE(YEAR(I522),MONTH(I522),1))</x:f>
      </x:c>
    </x:row>
    <x:row r="523">
      <x:c r="A523" s="16" t="str">
        <x:v>HG-01522</x:v>
      </x:c>
      <x:c r="B523" s="16" t="str">
        <x:v>Nabila Karim</x:v>
      </x:c>
      <x:c r="C523" s="16" t="str">
        <x:v>Female</x:v>
      </x:c>
      <x:c r="D523" s="16" t="str">
        <x:v>Information Technology</x:v>
      </x:c>
      <x:c r="E523" s="16" t="str">
        <x:v>System Administrator</x:v>
      </x:c>
      <x:c r="F523" s="16" t="str">
        <x:v>Dhaka Head Office</x:v>
      </x:c>
      <x:c r="G523" s="16" t="str">
        <x:v>Permanent</x:v>
      </x:c>
      <x:c r="H523" s="35" t="n">
        <x:v>45682</x:v>
      </x:c>
      <x:c r="I523" s="35"/>
      <x:c r="J523" s="16" t="str"/>
      <x:c r="K523" s="16" t="str">
        <x:f>IF(I523="","Active","Exited")</x:f>
        <x:v>Active</x:v>
      </x:c>
      <x:c r="L523" s="16" t="n">
        <x:f>(YEAR(IF(I523="",TODAY(),I523))-YEAR(H523))*12+MONTH(IF(I523="",TODAY(),I523))-MONTH(H523)</x:f>
        <x:v>18</x:v>
      </x:c>
      <x:c r="M523" s="36" t="n">
        <x:f>DATE(YEAR(H523),MONTH(H523),1)</x:f>
        <x:v>45658</x:v>
      </x:c>
      <x:c r="N523" s="36" t="str">
        <x:f>IF(I523="","",DATE(YEAR(I523),MONTH(I523),1))</x:f>
      </x:c>
    </x:row>
    <x:row r="524">
      <x:c r="A524" s="16" t="str">
        <x:v>HG-01523</x:v>
      </x:c>
      <x:c r="B524" s="16" t="str">
        <x:v>Rafi Sarker</x:v>
      </x:c>
      <x:c r="C524" s="16" t="str">
        <x:v>Male</x:v>
      </x:c>
      <x:c r="D524" s="16" t="str">
        <x:v>Finance &amp; Accounts</x:v>
      </x:c>
      <x:c r="E524" s="16" t="str">
        <x:v>Finance Officer</x:v>
      </x:c>
      <x:c r="F524" s="16" t="str">
        <x:v>Dhaka Head Office</x:v>
      </x:c>
      <x:c r="G524" s="16" t="str">
        <x:v>Contract</x:v>
      </x:c>
      <x:c r="H524" s="35" t="n">
        <x:v>45683</x:v>
      </x:c>
      <x:c r="I524" s="35"/>
      <x:c r="J524" s="16" t="str"/>
      <x:c r="K524" s="16" t="str">
        <x:f>IF(I524="","Active","Exited")</x:f>
        <x:v>Active</x:v>
      </x:c>
      <x:c r="L524" s="16" t="n">
        <x:f>(YEAR(IF(I524="",TODAY(),I524))-YEAR(H524))*12+MONTH(IF(I524="",TODAY(),I524))-MONTH(H524)</x:f>
        <x:v>18</x:v>
      </x:c>
      <x:c r="M524" s="36" t="n">
        <x:f>DATE(YEAR(H524),MONTH(H524),1)</x:f>
        <x:v>45658</x:v>
      </x:c>
      <x:c r="N524" s="36" t="str">
        <x:f>IF(I524="","",DATE(YEAR(I524),MONTH(I524),1))</x:f>
      </x:c>
    </x:row>
    <x:row r="525">
      <x:c r="A525" s="16" t="str">
        <x:v>HG-01524</x:v>
      </x:c>
      <x:c r="B525" s="16" t="str">
        <x:v>Sabbir Kabir</x:v>
      </x:c>
      <x:c r="C525" s="16" t="str">
        <x:v>Male</x:v>
      </x:c>
      <x:c r="D525" s="16" t="str">
        <x:v>Human Resources</x:v>
      </x:c>
      <x:c r="E525" s="16" t="str">
        <x:v>HR Business Executive</x:v>
      </x:c>
      <x:c r="F525" s="16" t="str">
        <x:v>Narayanganj Plant</x:v>
      </x:c>
      <x:c r="G525" s="16" t="str">
        <x:v>Permanent</x:v>
      </x:c>
      <x:c r="H525" s="35" t="n">
        <x:v>45662</x:v>
      </x:c>
      <x:c r="I525" s="35" t="n">
        <x:v>45876</x:v>
      </x:c>
      <x:c r="J525" s="16" t="str">
        <x:v>End of Contract</x:v>
      </x:c>
      <x:c r="K525" s="16" t="str">
        <x:f>IF(I525="","Active","Exited")</x:f>
        <x:v>Exited</x:v>
      </x:c>
      <x:c r="L525" s="16" t="n">
        <x:f>(YEAR(IF(I525="",TODAY(),I525))-YEAR(H525))*12+MONTH(IF(I525="",TODAY(),I525))-MONTH(H525)</x:f>
        <x:v>7</x:v>
      </x:c>
      <x:c r="M525" s="36" t="n">
        <x:f>DATE(YEAR(H525),MONTH(H525),1)</x:f>
        <x:v>45658</x:v>
      </x:c>
      <x:c r="N525" s="36" t="n">
        <x:f>IF(I525="","",DATE(YEAR(I525),MONTH(I525),1))</x:f>
        <x:v>45870</x:v>
      </x:c>
    </x:row>
    <x:row r="526">
      <x:c r="A526" s="16" t="str">
        <x:v>HG-01525</x:v>
      </x:c>
      <x:c r="B526" s="16" t="str">
        <x:v>Farhan Sarker</x:v>
      </x:c>
      <x:c r="C526" s="16" t="str">
        <x:v>Male</x:v>
      </x:c>
      <x:c r="D526" s="16" t="str">
        <x:v>Supply Chain</x:v>
      </x:c>
      <x:c r="E526" s="16" t="str">
        <x:v>Inventory Officer</x:v>
      </x:c>
      <x:c r="F526" s="16" t="str">
        <x:v>Gazipur Plant</x:v>
      </x:c>
      <x:c r="G526" s="16" t="str">
        <x:v>Permanent</x:v>
      </x:c>
      <x:c r="H526" s="35" t="n">
        <x:v>45670</x:v>
      </x:c>
      <x:c r="I526" s="35" t="n">
        <x:v>45972</x:v>
      </x:c>
      <x:c r="J526" s="16" t="str">
        <x:v>Relocation</x:v>
      </x:c>
      <x:c r="K526" s="16" t="str">
        <x:f>IF(I526="","Active","Exited")</x:f>
        <x:v>Exited</x:v>
      </x:c>
      <x:c r="L526" s="16" t="n">
        <x:f>(YEAR(IF(I526="",TODAY(),I526))-YEAR(H526))*12+MONTH(IF(I526="",TODAY(),I526))-MONTH(H526)</x:f>
        <x:v>10</x:v>
      </x:c>
      <x:c r="M526" s="36" t="n">
        <x:f>DATE(YEAR(H526),MONTH(H526),1)</x:f>
        <x:v>45658</x:v>
      </x:c>
      <x:c r="N526" s="36" t="n">
        <x:f>IF(I526="","",DATE(YEAR(I526),MONTH(I526),1))</x:f>
        <x:v>45962</x:v>
      </x:c>
    </x:row>
    <x:row r="527">
      <x:c r="A527" s="16" t="str">
        <x:v>HG-01526</x:v>
      </x:c>
      <x:c r="B527" s="16" t="str">
        <x:v>Tanvir Khan</x:v>
      </x:c>
      <x:c r="C527" s="16" t="str">
        <x:v>Male</x:v>
      </x:c>
      <x:c r="D527" s="16" t="str">
        <x:v>Information Technology</x:v>
      </x:c>
      <x:c r="E527" s="16" t="str">
        <x:v>Software Executive</x:v>
      </x:c>
      <x:c r="F527" s="16" t="str">
        <x:v>Dhaka Head Office</x:v>
      </x:c>
      <x:c r="G527" s="16" t="str">
        <x:v>Permanent</x:v>
      </x:c>
      <x:c r="H527" s="35" t="n">
        <x:v>45670</x:v>
      </x:c>
      <x:c r="I527" s="35"/>
      <x:c r="J527" s="16" t="str"/>
      <x:c r="K527" s="16" t="str">
        <x:f>IF(I527="","Active","Exited")</x:f>
        <x:v>Active</x:v>
      </x:c>
      <x:c r="L527" s="16" t="n">
        <x:f>(YEAR(IF(I527="",TODAY(),I527))-YEAR(H527))*12+MONTH(IF(I527="",TODAY(),I527))-MONTH(H527)</x:f>
        <x:v>18</x:v>
      </x:c>
      <x:c r="M527" s="36" t="n">
        <x:f>DATE(YEAR(H527),MONTH(H527),1)</x:f>
        <x:v>45658</x:v>
      </x:c>
      <x:c r="N527" s="36" t="str">
        <x:f>IF(I527="","",DATE(YEAR(I527),MONTH(I527),1))</x:f>
      </x:c>
    </x:row>
    <x:row r="528">
      <x:c r="A528" s="16" t="str">
        <x:v>HG-01527</x:v>
      </x:c>
      <x:c r="B528" s="16" t="str">
        <x:v>Farzana Kabir</x:v>
      </x:c>
      <x:c r="C528" s="16" t="str">
        <x:v>Female</x:v>
      </x:c>
      <x:c r="D528" s="16" t="str">
        <x:v>Quality Assurance</x:v>
      </x:c>
      <x:c r="E528" s="16" t="str">
        <x:v>Assistant Manager - QA</x:v>
      </x:c>
      <x:c r="F528" s="16" t="str">
        <x:v>Narayanganj Plant</x:v>
      </x:c>
      <x:c r="G528" s="16" t="str">
        <x:v>Probation</x:v>
      </x:c>
      <x:c r="H528" s="35" t="n">
        <x:v>45669</x:v>
      </x:c>
      <x:c r="I528" s="35"/>
      <x:c r="J528" s="16" t="str"/>
      <x:c r="K528" s="16" t="str">
        <x:f>IF(I528="","Active","Exited")</x:f>
        <x:v>Active</x:v>
      </x:c>
      <x:c r="L528" s="16" t="n">
        <x:f>(YEAR(IF(I528="",TODAY(),I528))-YEAR(H528))*12+MONTH(IF(I528="",TODAY(),I528))-MONTH(H528)</x:f>
        <x:v>18</x:v>
      </x:c>
      <x:c r="M528" s="36" t="n">
        <x:f>DATE(YEAR(H528),MONTH(H528),1)</x:f>
        <x:v>45658</x:v>
      </x:c>
      <x:c r="N528" s="36" t="str">
        <x:f>IF(I528="","",DATE(YEAR(I528),MONTH(I528),1))</x:f>
      </x:c>
    </x:row>
    <x:row r="529">
      <x:c r="A529" s="16" t="str">
        <x:v>HG-01528</x:v>
      </x:c>
      <x:c r="B529" s="16" t="str">
        <x:v>Ayesha Akter</x:v>
      </x:c>
      <x:c r="C529" s="16" t="str">
        <x:v>Female</x:v>
      </x:c>
      <x:c r="D529" s="16" t="str">
        <x:v>Production</x:v>
      </x:c>
      <x:c r="E529" s="16" t="str">
        <x:v>Production Officer</x:v>
      </x:c>
      <x:c r="F529" s="16" t="str">
        <x:v>Dhaka Head Office</x:v>
      </x:c>
      <x:c r="G529" s="16" t="str">
        <x:v>Permanent</x:v>
      </x:c>
      <x:c r="H529" s="35" t="n">
        <x:v>45668</x:v>
      </x:c>
      <x:c r="I529" s="35"/>
      <x:c r="J529" s="16" t="str"/>
      <x:c r="K529" s="16" t="str">
        <x:f>IF(I529="","Active","Exited")</x:f>
        <x:v>Active</x:v>
      </x:c>
      <x:c r="L529" s="16" t="n">
        <x:f>(YEAR(IF(I529="",TODAY(),I529))-YEAR(H529))*12+MONTH(IF(I529="",TODAY(),I529))-MONTH(H529)</x:f>
        <x:v>18</x:v>
      </x:c>
      <x:c r="M529" s="36" t="n">
        <x:f>DATE(YEAR(H529),MONTH(H529),1)</x:f>
        <x:v>45658</x:v>
      </x:c>
      <x:c r="N529" s="36" t="str">
        <x:f>IF(I529="","",DATE(YEAR(I529),MONTH(I529),1))</x:f>
      </x:c>
    </x:row>
    <x:row r="530">
      <x:c r="A530" s="16" t="str">
        <x:v>HG-01529</x:v>
      </x:c>
      <x:c r="B530" s="16" t="str">
        <x:v>Hasan Chowdhury</x:v>
      </x:c>
      <x:c r="C530" s="16" t="str">
        <x:v>Male</x:v>
      </x:c>
      <x:c r="D530" s="16" t="str">
        <x:v>Sales &amp; Marketing</x:v>
      </x:c>
      <x:c r="E530" s="16" t="str">
        <x:v>Assistant Manager - Sales</x:v>
      </x:c>
      <x:c r="F530" s="16" t="str">
        <x:v>Narayanganj Plant</x:v>
      </x:c>
      <x:c r="G530" s="16" t="str">
        <x:v>Permanent</x:v>
      </x:c>
      <x:c r="H530" s="35" t="n">
        <x:v>45667</x:v>
      </x:c>
      <x:c r="I530" s="35"/>
      <x:c r="J530" s="16" t="str"/>
      <x:c r="K530" s="16" t="str">
        <x:f>IF(I530="","Active","Exited")</x:f>
        <x:v>Active</x:v>
      </x:c>
      <x:c r="L530" s="16" t="n">
        <x:f>(YEAR(IF(I530="",TODAY(),I530))-YEAR(H530))*12+MONTH(IF(I530="",TODAY(),I530))-MONTH(H530)</x:f>
        <x:v>18</x:v>
      </x:c>
      <x:c r="M530" s="36" t="n">
        <x:f>DATE(YEAR(H530),MONTH(H530),1)</x:f>
        <x:v>45658</x:v>
      </x:c>
      <x:c r="N530" s="36" t="str">
        <x:f>IF(I530="","",DATE(YEAR(I530),MONTH(I530),1))</x:f>
      </x:c>
    </x:row>
    <x:row r="531">
      <x:c r="A531" s="16" t="str">
        <x:v>HG-01530</x:v>
      </x:c>
      <x:c r="B531" s="16" t="str">
        <x:v>Nayeem Uddin</x:v>
      </x:c>
      <x:c r="C531" s="16" t="str">
        <x:v>Male</x:v>
      </x:c>
      <x:c r="D531" s="16" t="str">
        <x:v>Production</x:v>
      </x:c>
      <x:c r="E531" s="16" t="str">
        <x:v>Production Officer</x:v>
      </x:c>
      <x:c r="F531" s="16" t="str">
        <x:v>Narayanganj Plant</x:v>
      </x:c>
      <x:c r="G531" s="16" t="str">
        <x:v>Permanent</x:v>
      </x:c>
      <x:c r="H531" s="35" t="n">
        <x:v>45691</x:v>
      </x:c>
      <x:c r="I531" s="35"/>
      <x:c r="J531" s="16" t="str"/>
      <x:c r="K531" s="16" t="str">
        <x:f>IF(I531="","Active","Exited")</x:f>
        <x:v>Active</x:v>
      </x:c>
      <x:c r="L531" s="16" t="n">
        <x:f>(YEAR(IF(I531="",TODAY(),I531))-YEAR(H531))*12+MONTH(IF(I531="",TODAY(),I531))-MONTH(H531)</x:f>
        <x:v>17</x:v>
      </x:c>
      <x:c r="M531" s="36" t="n">
        <x:f>DATE(YEAR(H531),MONTH(H531),1)</x:f>
        <x:v>45689</x:v>
      </x:c>
      <x:c r="N531" s="36" t="str">
        <x:f>IF(I531="","",DATE(YEAR(I531),MONTH(I531),1))</x:f>
      </x:c>
    </x:row>
    <x:row r="532">
      <x:c r="A532" s="16" t="str">
        <x:v>HG-01531</x:v>
      </x:c>
      <x:c r="B532" s="16" t="str">
        <x:v>Sabbir Kabir</x:v>
      </x:c>
      <x:c r="C532" s="16" t="str">
        <x:v>Male</x:v>
      </x:c>
      <x:c r="D532" s="16" t="str">
        <x:v>Production</x:v>
      </x:c>
      <x:c r="E532" s="16" t="str">
        <x:v>Production Operator</x:v>
      </x:c>
      <x:c r="F532" s="16" t="str">
        <x:v>Narayanganj Plant</x:v>
      </x:c>
      <x:c r="G532" s="16" t="str">
        <x:v>Permanent</x:v>
      </x:c>
      <x:c r="H532" s="35" t="n">
        <x:v>45701</x:v>
      </x:c>
      <x:c r="I532" s="35"/>
      <x:c r="J532" s="16" t="str"/>
      <x:c r="K532" s="16" t="str">
        <x:f>IF(I532="","Active","Exited")</x:f>
        <x:v>Active</x:v>
      </x:c>
      <x:c r="L532" s="16" t="n">
        <x:f>(YEAR(IF(I532="",TODAY(),I532))-YEAR(H532))*12+MONTH(IF(I532="",TODAY(),I532))-MONTH(H532)</x:f>
        <x:v>17</x:v>
      </x:c>
      <x:c r="M532" s="36" t="n">
        <x:f>DATE(YEAR(H532),MONTH(H532),1)</x:f>
        <x:v>45689</x:v>
      </x:c>
      <x:c r="N532" s="36" t="str">
        <x:f>IF(I532="","",DATE(YEAR(I532),MONTH(I532),1))</x:f>
      </x:c>
    </x:row>
    <x:row r="533">
      <x:c r="A533" s="16" t="str">
        <x:v>HG-01532</x:v>
      </x:c>
      <x:c r="B533" s="16" t="str">
        <x:v>Fahim Ahmed</x:v>
      </x:c>
      <x:c r="C533" s="16" t="str">
        <x:v>Male</x:v>
      </x:c>
      <x:c r="D533" s="16" t="str">
        <x:v>Quality Assurance</x:v>
      </x:c>
      <x:c r="E533" s="16" t="str">
        <x:v>Quality Inspector</x:v>
      </x:c>
      <x:c r="F533" s="16" t="str">
        <x:v>Narayanganj Plant</x:v>
      </x:c>
      <x:c r="G533" s="16" t="str">
        <x:v>Permanent</x:v>
      </x:c>
      <x:c r="H533" s="35" t="n">
        <x:v>45713</x:v>
      </x:c>
      <x:c r="I533" s="35"/>
      <x:c r="J533" s="16" t="str"/>
      <x:c r="K533" s="16" t="str">
        <x:f>IF(I533="","Active","Exited")</x:f>
        <x:v>Active</x:v>
      </x:c>
      <x:c r="L533" s="16" t="n">
        <x:f>(YEAR(IF(I533="",TODAY(),I533))-YEAR(H533))*12+MONTH(IF(I533="",TODAY(),I533))-MONTH(H533)</x:f>
        <x:v>17</x:v>
      </x:c>
      <x:c r="M533" s="36" t="n">
        <x:f>DATE(YEAR(H533),MONTH(H533),1)</x:f>
        <x:v>45689</x:v>
      </x:c>
      <x:c r="N533" s="36" t="str">
        <x:f>IF(I533="","",DATE(YEAR(I533),MONTH(I533),1))</x:f>
      </x:c>
    </x:row>
    <x:row r="534">
      <x:c r="A534" s="16" t="str">
        <x:v>HG-01533</x:v>
      </x:c>
      <x:c r="B534" s="16" t="str">
        <x:v>Mizan Miah</x:v>
      </x:c>
      <x:c r="C534" s="16" t="str">
        <x:v>Male</x:v>
      </x:c>
      <x:c r="D534" s="16" t="str">
        <x:v>Administration</x:v>
      </x:c>
      <x:c r="E534" s="16" t="str">
        <x:v>Facility Officer</x:v>
      </x:c>
      <x:c r="F534" s="16" t="str">
        <x:v>Dhaka Head Office</x:v>
      </x:c>
      <x:c r="G534" s="16" t="str">
        <x:v>Permanent</x:v>
      </x:c>
      <x:c r="H534" s="35" t="n">
        <x:v>45701</x:v>
      </x:c>
      <x:c r="I534" s="35"/>
      <x:c r="J534" s="16" t="str"/>
      <x:c r="K534" s="16" t="str">
        <x:f>IF(I534="","Active","Exited")</x:f>
        <x:v>Active</x:v>
      </x:c>
      <x:c r="L534" s="16" t="n">
        <x:f>(YEAR(IF(I534="",TODAY(),I534))-YEAR(H534))*12+MONTH(IF(I534="",TODAY(),I534))-MONTH(H534)</x:f>
        <x:v>17</x:v>
      </x:c>
      <x:c r="M534" s="36" t="n">
        <x:f>DATE(YEAR(H534),MONTH(H534),1)</x:f>
        <x:v>45689</x:v>
      </x:c>
      <x:c r="N534" s="36" t="str">
        <x:f>IF(I534="","",DATE(YEAR(I534),MONTH(I534),1))</x:f>
      </x:c>
    </x:row>
    <x:row r="535">
      <x:c r="A535" s="16" t="str">
        <x:v>HG-01534</x:v>
      </x:c>
      <x:c r="B535" s="16" t="str">
        <x:v>Sabbir Akter</x:v>
      </x:c>
      <x:c r="C535" s="16" t="str">
        <x:v>Male</x:v>
      </x:c>
      <x:c r="D535" s="16" t="str">
        <x:v>Production</x:v>
      </x:c>
      <x:c r="E535" s="16" t="str">
        <x:v>Assistant Manager - Production</x:v>
      </x:c>
      <x:c r="F535" s="16" t="str">
        <x:v>Gazipur Plant</x:v>
      </x:c>
      <x:c r="G535" s="16" t="str">
        <x:v>Permanent</x:v>
      </x:c>
      <x:c r="H535" s="35" t="n">
        <x:v>45690</x:v>
      </x:c>
      <x:c r="I535" s="35"/>
      <x:c r="J535" s="16" t="str"/>
      <x:c r="K535" s="16" t="str">
        <x:f>IF(I535="","Active","Exited")</x:f>
        <x:v>Active</x:v>
      </x:c>
      <x:c r="L535" s="16" t="n">
        <x:f>(YEAR(IF(I535="",TODAY(),I535))-YEAR(H535))*12+MONTH(IF(I535="",TODAY(),I535))-MONTH(H535)</x:f>
        <x:v>17</x:v>
      </x:c>
      <x:c r="M535" s="36" t="n">
        <x:f>DATE(YEAR(H535),MONTH(H535),1)</x:f>
        <x:v>45689</x:v>
      </x:c>
      <x:c r="N535" s="36" t="str">
        <x:f>IF(I535="","",DATE(YEAR(I535),MONTH(I535),1))</x:f>
      </x:c>
    </x:row>
    <x:row r="536">
      <x:c r="A536" s="16" t="str">
        <x:v>HG-01535</x:v>
      </x:c>
      <x:c r="B536" s="16" t="str">
        <x:v>Mahmud Karim</x:v>
      </x:c>
      <x:c r="C536" s="16" t="str">
        <x:v>Male</x:v>
      </x:c>
      <x:c r="D536" s="16" t="str">
        <x:v>Production</x:v>
      </x:c>
      <x:c r="E536" s="16" t="str">
        <x:v>Production Operator</x:v>
      </x:c>
      <x:c r="F536" s="16" t="str">
        <x:v>Narayanganj Plant</x:v>
      </x:c>
      <x:c r="G536" s="16" t="str">
        <x:v>Permanent</x:v>
      </x:c>
      <x:c r="H536" s="35" t="n">
        <x:v>45715</x:v>
      </x:c>
      <x:c r="I536" s="35" t="n">
        <x:v>45804</x:v>
      </x:c>
      <x:c r="J536" s="16" t="str">
        <x:v>Work-Life Balance</x:v>
      </x:c>
      <x:c r="K536" s="16" t="str">
        <x:f>IF(I536="","Active","Exited")</x:f>
        <x:v>Exited</x:v>
      </x:c>
      <x:c r="L536" s="16" t="n">
        <x:f>(YEAR(IF(I536="",TODAY(),I536))-YEAR(H536))*12+MONTH(IF(I536="",TODAY(),I536))-MONTH(H536)</x:f>
        <x:v>3</x:v>
      </x:c>
      <x:c r="M536" s="36" t="n">
        <x:f>DATE(YEAR(H536),MONTH(H536),1)</x:f>
        <x:v>45689</x:v>
      </x:c>
      <x:c r="N536" s="36" t="n">
        <x:f>IF(I536="","",DATE(YEAR(I536),MONTH(I536),1))</x:f>
        <x:v>45778</x:v>
      </x:c>
    </x:row>
    <x:row r="537">
      <x:c r="A537" s="16" t="str">
        <x:v>HG-01536</x:v>
      </x:c>
      <x:c r="B537" s="16" t="str">
        <x:v>Mehedi Karim</x:v>
      </x:c>
      <x:c r="C537" s="16" t="str">
        <x:v>Male</x:v>
      </x:c>
      <x:c r="D537" s="16" t="str">
        <x:v>Quality Assurance</x:v>
      </x:c>
      <x:c r="E537" s="16" t="str">
        <x:v>Quality Inspector</x:v>
      </x:c>
      <x:c r="F537" s="16" t="str">
        <x:v>Narayanganj Plant</x:v>
      </x:c>
      <x:c r="G537" s="16" t="str">
        <x:v>Probation</x:v>
      </x:c>
      <x:c r="H537" s="35" t="n">
        <x:v>45712</x:v>
      </x:c>
      <x:c r="I537" s="35"/>
      <x:c r="J537" s="16" t="str"/>
      <x:c r="K537" s="16" t="str">
        <x:f>IF(I537="","Active","Exited")</x:f>
        <x:v>Active</x:v>
      </x:c>
      <x:c r="L537" s="16" t="n">
        <x:f>(YEAR(IF(I537="",TODAY(),I537))-YEAR(H537))*12+MONTH(IF(I537="",TODAY(),I537))-MONTH(H537)</x:f>
        <x:v>17</x:v>
      </x:c>
      <x:c r="M537" s="36" t="n">
        <x:f>DATE(YEAR(H537),MONTH(H537),1)</x:f>
        <x:v>45689</x:v>
      </x:c>
      <x:c r="N537" s="36" t="str">
        <x:f>IF(I537="","",DATE(YEAR(I537),MONTH(I537),1))</x:f>
      </x:c>
    </x:row>
    <x:row r="538">
      <x:c r="A538" s="16" t="str">
        <x:v>HG-01537</x:v>
      </x:c>
      <x:c r="B538" s="16" t="str">
        <x:v>Arif Khan</x:v>
      </x:c>
      <x:c r="C538" s="16" t="str">
        <x:v>Male</x:v>
      </x:c>
      <x:c r="D538" s="16" t="str">
        <x:v>Sales &amp; Marketing</x:v>
      </x:c>
      <x:c r="E538" s="16" t="str">
        <x:v>Marketing Officer</x:v>
      </x:c>
      <x:c r="F538" s="16" t="str">
        <x:v>Narayanganj Plant</x:v>
      </x:c>
      <x:c r="G538" s="16" t="str">
        <x:v>Permanent</x:v>
      </x:c>
      <x:c r="H538" s="35" t="n">
        <x:v>45696</x:v>
      </x:c>
      <x:c r="I538" s="35"/>
      <x:c r="J538" s="16" t="str"/>
      <x:c r="K538" s="16" t="str">
        <x:f>IF(I538="","Active","Exited")</x:f>
        <x:v>Active</x:v>
      </x:c>
      <x:c r="L538" s="16" t="n">
        <x:f>(YEAR(IF(I538="",TODAY(),I538))-YEAR(H538))*12+MONTH(IF(I538="",TODAY(),I538))-MONTH(H538)</x:f>
        <x:v>17</x:v>
      </x:c>
      <x:c r="M538" s="36" t="n">
        <x:f>DATE(YEAR(H538),MONTH(H538),1)</x:f>
        <x:v>45689</x:v>
      </x:c>
      <x:c r="N538" s="36" t="str">
        <x:f>IF(I538="","",DATE(YEAR(I538),MONTH(I538),1))</x:f>
      </x:c>
    </x:row>
    <x:row r="539">
      <x:c r="A539" s="16" t="str">
        <x:v>HG-01538</x:v>
      </x:c>
      <x:c r="B539" s="16" t="str">
        <x:v>Sabbir Karim</x:v>
      </x:c>
      <x:c r="C539" s="16" t="str">
        <x:v>Male</x:v>
      </x:c>
      <x:c r="D539" s="16" t="str">
        <x:v>Supply Chain</x:v>
      </x:c>
      <x:c r="E539" s="16" t="str">
        <x:v>Procurement Executive</x:v>
      </x:c>
      <x:c r="F539" s="16" t="str">
        <x:v>Gazipur Plant</x:v>
      </x:c>
      <x:c r="G539" s="16" t="str">
        <x:v>Permanent</x:v>
      </x:c>
      <x:c r="H539" s="35" t="n">
        <x:v>45692</x:v>
      </x:c>
      <x:c r="I539" s="35"/>
      <x:c r="J539" s="16" t="str"/>
      <x:c r="K539" s="16" t="str">
        <x:f>IF(I539="","Active","Exited")</x:f>
        <x:v>Active</x:v>
      </x:c>
      <x:c r="L539" s="16" t="n">
        <x:f>(YEAR(IF(I539="",TODAY(),I539))-YEAR(H539))*12+MONTH(IF(I539="",TODAY(),I539))-MONTH(H539)</x:f>
        <x:v>17</x:v>
      </x:c>
      <x:c r="M539" s="36" t="n">
        <x:f>DATE(YEAR(H539),MONTH(H539),1)</x:f>
        <x:v>45689</x:v>
      </x:c>
      <x:c r="N539" s="36" t="str">
        <x:f>IF(I539="","",DATE(YEAR(I539),MONTH(I539),1))</x:f>
      </x:c>
    </x:row>
    <x:row r="540">
      <x:c r="A540" s="16" t="str">
        <x:v>HG-01539</x:v>
      </x:c>
      <x:c r="B540" s="16" t="str">
        <x:v>Arif Miah</x:v>
      </x:c>
      <x:c r="C540" s="16" t="str">
        <x:v>Male</x:v>
      </x:c>
      <x:c r="D540" s="16" t="str">
        <x:v>Human Resources</x:v>
      </x:c>
      <x:c r="E540" s="16" t="str">
        <x:v>HR Business Executive</x:v>
      </x:c>
      <x:c r="F540" s="16" t="str">
        <x:v>Gazipur Plant</x:v>
      </x:c>
      <x:c r="G540" s="16" t="str">
        <x:v>Probation</x:v>
      </x:c>
      <x:c r="H540" s="35" t="n">
        <x:v>45696</x:v>
      </x:c>
      <x:c r="I540" s="35" t="n">
        <x:v>45859</x:v>
      </x:c>
      <x:c r="J540" s="16" t="str">
        <x:v>Better Opportunity</x:v>
      </x:c>
      <x:c r="K540" s="16" t="str">
        <x:f>IF(I540="","Active","Exited")</x:f>
        <x:v>Exited</x:v>
      </x:c>
      <x:c r="L540" s="16" t="n">
        <x:f>(YEAR(IF(I540="",TODAY(),I540))-YEAR(H540))*12+MONTH(IF(I540="",TODAY(),I540))-MONTH(H540)</x:f>
        <x:v>5</x:v>
      </x:c>
      <x:c r="M540" s="36" t="n">
        <x:f>DATE(YEAR(H540),MONTH(H540),1)</x:f>
        <x:v>45689</x:v>
      </x:c>
      <x:c r="N540" s="36" t="n">
        <x:f>IF(I540="","",DATE(YEAR(I540),MONTH(I540),1))</x:f>
        <x:v>45839</x:v>
      </x:c>
    </x:row>
    <x:row r="541">
      <x:c r="A541" s="16" t="str">
        <x:v>HG-01540</x:v>
      </x:c>
      <x:c r="B541" s="16" t="str">
        <x:v>Mizan Miah</x:v>
      </x:c>
      <x:c r="C541" s="16" t="str">
        <x:v>Male</x:v>
      </x:c>
      <x:c r="D541" s="16" t="str">
        <x:v>Production</x:v>
      </x:c>
      <x:c r="E541" s="16" t="str">
        <x:v>Assistant Manager - Production</x:v>
      </x:c>
      <x:c r="F541" s="16" t="str">
        <x:v>Gazipur Plant</x:v>
      </x:c>
      <x:c r="G541" s="16" t="str">
        <x:v>Contract</x:v>
      </x:c>
      <x:c r="H541" s="35" t="n">
        <x:v>45707</x:v>
      </x:c>
      <x:c r="I541" s="35"/>
      <x:c r="J541" s="16" t="str"/>
      <x:c r="K541" s="16" t="str">
        <x:f>IF(I541="","Active","Exited")</x:f>
        <x:v>Active</x:v>
      </x:c>
      <x:c r="L541" s="16" t="n">
        <x:f>(YEAR(IF(I541="",TODAY(),I541))-YEAR(H541))*12+MONTH(IF(I541="",TODAY(),I541))-MONTH(H541)</x:f>
        <x:v>17</x:v>
      </x:c>
      <x:c r="M541" s="36" t="n">
        <x:f>DATE(YEAR(H541),MONTH(H541),1)</x:f>
        <x:v>45689</x:v>
      </x:c>
      <x:c r="N541" s="36" t="str">
        <x:f>IF(I541="","",DATE(YEAR(I541),MONTH(I541),1))</x:f>
      </x:c>
    </x:row>
    <x:row r="542">
      <x:c r="A542" s="16" t="str">
        <x:v>HG-01541</x:v>
      </x:c>
      <x:c r="B542" s="16" t="str">
        <x:v>Fahim Kabir</x:v>
      </x:c>
      <x:c r="C542" s="16" t="str">
        <x:v>Male</x:v>
      </x:c>
      <x:c r="D542" s="16" t="str">
        <x:v>Supply Chain</x:v>
      </x:c>
      <x:c r="E542" s="16" t="str">
        <x:v>Assistant Manager - Supply Chain</x:v>
      </x:c>
      <x:c r="F542" s="16" t="str">
        <x:v>Narayanganj Plant</x:v>
      </x:c>
      <x:c r="G542" s="16" t="str">
        <x:v>Contract</x:v>
      </x:c>
      <x:c r="H542" s="35" t="n">
        <x:v>45706</x:v>
      </x:c>
      <x:c r="I542" s="35"/>
      <x:c r="J542" s="16" t="str"/>
      <x:c r="K542" s="16" t="str">
        <x:f>IF(I542="","Active","Exited")</x:f>
        <x:v>Active</x:v>
      </x:c>
      <x:c r="L542" s="16" t="n">
        <x:f>(YEAR(IF(I542="",TODAY(),I542))-YEAR(H542))*12+MONTH(IF(I542="",TODAY(),I542))-MONTH(H542)</x:f>
        <x:v>17</x:v>
      </x:c>
      <x:c r="M542" s="36" t="n">
        <x:f>DATE(YEAR(H542),MONTH(H542),1)</x:f>
        <x:v>45689</x:v>
      </x:c>
      <x:c r="N542" s="36" t="str">
        <x:f>IF(I542="","",DATE(YEAR(I542),MONTH(I542),1))</x:f>
      </x:c>
    </x:row>
    <x:row r="543">
      <x:c r="A543" s="16" t="str">
        <x:v>HG-01542</x:v>
      </x:c>
      <x:c r="B543" s="16" t="str">
        <x:v>Tasnim Kabir</x:v>
      </x:c>
      <x:c r="C543" s="16" t="str">
        <x:v>Female</x:v>
      </x:c>
      <x:c r="D543" s="16" t="str">
        <x:v>Production</x:v>
      </x:c>
      <x:c r="E543" s="16" t="str">
        <x:v>Assistant Manager - Production</x:v>
      </x:c>
      <x:c r="F543" s="16" t="str">
        <x:v>Narayanganj Plant</x:v>
      </x:c>
      <x:c r="G543" s="16" t="str">
        <x:v>Permanent</x:v>
      </x:c>
      <x:c r="H543" s="35" t="n">
        <x:v>45694</x:v>
      </x:c>
      <x:c r="I543" s="35"/>
      <x:c r="J543" s="16" t="str"/>
      <x:c r="K543" s="16" t="str">
        <x:f>IF(I543="","Active","Exited")</x:f>
        <x:v>Active</x:v>
      </x:c>
      <x:c r="L543" s="16" t="n">
        <x:f>(YEAR(IF(I543="",TODAY(),I543))-YEAR(H543))*12+MONTH(IF(I543="",TODAY(),I543))-MONTH(H543)</x:f>
        <x:v>17</x:v>
      </x:c>
      <x:c r="M543" s="36" t="n">
        <x:f>DATE(YEAR(H543),MONTH(H543),1)</x:f>
        <x:v>45689</x:v>
      </x:c>
      <x:c r="N543" s="36" t="str">
        <x:f>IF(I543="","",DATE(YEAR(I543),MONTH(I543),1))</x:f>
      </x:c>
    </x:row>
    <x:row r="544">
      <x:c r="A544" s="16" t="str">
        <x:v>HG-01543</x:v>
      </x:c>
      <x:c r="B544" s="16" t="str">
        <x:v>Raisa Khan</x:v>
      </x:c>
      <x:c r="C544" s="16" t="str">
        <x:v>Female</x:v>
      </x:c>
      <x:c r="D544" s="16" t="str">
        <x:v>Human Resources</x:v>
      </x:c>
      <x:c r="E544" s="16" t="str">
        <x:v>Senior HR Executive</x:v>
      </x:c>
      <x:c r="F544" s="16" t="str">
        <x:v>Dhaka Head Office</x:v>
      </x:c>
      <x:c r="G544" s="16" t="str">
        <x:v>Probation</x:v>
      </x:c>
      <x:c r="H544" s="35" t="n">
        <x:v>45709</x:v>
      </x:c>
      <x:c r="I544" s="35"/>
      <x:c r="J544" s="16" t="str"/>
      <x:c r="K544" s="16" t="str">
        <x:f>IF(I544="","Active","Exited")</x:f>
        <x:v>Active</x:v>
      </x:c>
      <x:c r="L544" s="16" t="n">
        <x:f>(YEAR(IF(I544="",TODAY(),I544))-YEAR(H544))*12+MONTH(IF(I544="",TODAY(),I544))-MONTH(H544)</x:f>
        <x:v>17</x:v>
      </x:c>
      <x:c r="M544" s="36" t="n">
        <x:f>DATE(YEAR(H544),MONTH(H544),1)</x:f>
        <x:v>45689</x:v>
      </x:c>
      <x:c r="N544" s="36" t="str">
        <x:f>IF(I544="","",DATE(YEAR(I544),MONTH(I544),1))</x:f>
      </x:c>
    </x:row>
    <x:row r="545">
      <x:c r="A545" s="16" t="str">
        <x:v>HG-01544</x:v>
      </x:c>
      <x:c r="B545" s="16" t="str">
        <x:v>Rakib Rahman</x:v>
      </x:c>
      <x:c r="C545" s="16" t="str">
        <x:v>Male</x:v>
      </x:c>
      <x:c r="D545" s="16" t="str">
        <x:v>Human Resources</x:v>
      </x:c>
      <x:c r="E545" s="16" t="str">
        <x:v>HR Business Executive</x:v>
      </x:c>
      <x:c r="F545" s="16" t="str">
        <x:v>Gazipur Plant</x:v>
      </x:c>
      <x:c r="G545" s="16" t="str">
        <x:v>Permanent</x:v>
      </x:c>
      <x:c r="H545" s="35" t="n">
        <x:v>45742</x:v>
      </x:c>
      <x:c r="I545" s="35"/>
      <x:c r="J545" s="16" t="str"/>
      <x:c r="K545" s="16" t="str">
        <x:f>IF(I545="","Active","Exited")</x:f>
        <x:v>Active</x:v>
      </x:c>
      <x:c r="L545" s="16" t="n">
        <x:f>(YEAR(IF(I545="",TODAY(),I545))-YEAR(H545))*12+MONTH(IF(I545="",TODAY(),I545))-MONTH(H545)</x:f>
        <x:v>16</x:v>
      </x:c>
      <x:c r="M545" s="36" t="n">
        <x:f>DATE(YEAR(H545),MONTH(H545),1)</x:f>
        <x:v>45717</x:v>
      </x:c>
      <x:c r="N545" s="36" t="str">
        <x:f>IF(I545="","",DATE(YEAR(I545),MONTH(I545),1))</x:f>
      </x:c>
    </x:row>
    <x:row r="546">
      <x:c r="A546" s="16" t="str">
        <x:v>HG-01545</x:v>
      </x:c>
      <x:c r="B546" s="16" t="str">
        <x:v>Sajid Ahmed</x:v>
      </x:c>
      <x:c r="C546" s="16" t="str">
        <x:v>Male</x:v>
      </x:c>
      <x:c r="D546" s="16" t="str">
        <x:v>Supply Chain</x:v>
      </x:c>
      <x:c r="E546" s="16" t="str">
        <x:v>Logistics Executive</x:v>
      </x:c>
      <x:c r="F546" s="16" t="str">
        <x:v>Gazipur Plant</x:v>
      </x:c>
      <x:c r="G546" s="16" t="str">
        <x:v>Permanent</x:v>
      </x:c>
      <x:c r="H546" s="35" t="n">
        <x:v>45720</x:v>
      </x:c>
      <x:c r="I546" s="35"/>
      <x:c r="J546" s="16" t="str"/>
      <x:c r="K546" s="16" t="str">
        <x:f>IF(I546="","Active","Exited")</x:f>
        <x:v>Active</x:v>
      </x:c>
      <x:c r="L546" s="16" t="n">
        <x:f>(YEAR(IF(I546="",TODAY(),I546))-YEAR(H546))*12+MONTH(IF(I546="",TODAY(),I546))-MONTH(H546)</x:f>
        <x:v>16</x:v>
      </x:c>
      <x:c r="M546" s="36" t="n">
        <x:f>DATE(YEAR(H546),MONTH(H546),1)</x:f>
        <x:v>45717</x:v>
      </x:c>
      <x:c r="N546" s="36" t="str">
        <x:f>IF(I546="","",DATE(YEAR(I546),MONTH(I546),1))</x:f>
      </x:c>
    </x:row>
    <x:row r="547">
      <x:c r="A547" s="16" t="str">
        <x:v>HG-01546</x:v>
      </x:c>
      <x:c r="B547" s="16" t="str">
        <x:v>Maliha Sarker</x:v>
      </x:c>
      <x:c r="C547" s="16" t="str">
        <x:v>Female</x:v>
      </x:c>
      <x:c r="D547" s="16" t="str">
        <x:v>Production</x:v>
      </x:c>
      <x:c r="E547" s="16" t="str">
        <x:v>Production Officer</x:v>
      </x:c>
      <x:c r="F547" s="16" t="str">
        <x:v>Gazipur Plant</x:v>
      </x:c>
      <x:c r="G547" s="16" t="str">
        <x:v>Permanent</x:v>
      </x:c>
      <x:c r="H547" s="35" t="n">
        <x:v>45741</x:v>
      </x:c>
      <x:c r="I547" s="35"/>
      <x:c r="J547" s="16" t="str"/>
      <x:c r="K547" s="16" t="str">
        <x:f>IF(I547="","Active","Exited")</x:f>
        <x:v>Active</x:v>
      </x:c>
      <x:c r="L547" s="16" t="n">
        <x:f>(YEAR(IF(I547="",TODAY(),I547))-YEAR(H547))*12+MONTH(IF(I547="",TODAY(),I547))-MONTH(H547)</x:f>
        <x:v>16</x:v>
      </x:c>
      <x:c r="M547" s="36" t="n">
        <x:f>DATE(YEAR(H547),MONTH(H547),1)</x:f>
        <x:v>45717</x:v>
      </x:c>
      <x:c r="N547" s="36" t="str">
        <x:f>IF(I547="","",DATE(YEAR(I547),MONTH(I547),1))</x:f>
      </x:c>
    </x:row>
    <x:row r="548">
      <x:c r="A548" s="16" t="str">
        <x:v>HG-01547</x:v>
      </x:c>
      <x:c r="B548" s="16" t="str">
        <x:v>Sajid Islam</x:v>
      </x:c>
      <x:c r="C548" s="16" t="str">
        <x:v>Male</x:v>
      </x:c>
      <x:c r="D548" s="16" t="str">
        <x:v>Human Resources</x:v>
      </x:c>
      <x:c r="E548" s="16" t="str">
        <x:v>Senior HR Executive</x:v>
      </x:c>
      <x:c r="F548" s="16" t="str">
        <x:v>Dhaka Head Office</x:v>
      </x:c>
      <x:c r="G548" s="16" t="str">
        <x:v>Permanent</x:v>
      </x:c>
      <x:c r="H548" s="35" t="n">
        <x:v>45739</x:v>
      </x:c>
      <x:c r="I548" s="35"/>
      <x:c r="J548" s="16" t="str"/>
      <x:c r="K548" s="16" t="str">
        <x:f>IF(I548="","Active","Exited")</x:f>
        <x:v>Active</x:v>
      </x:c>
      <x:c r="L548" s="16" t="n">
        <x:f>(YEAR(IF(I548="",TODAY(),I548))-YEAR(H548))*12+MONTH(IF(I548="",TODAY(),I548))-MONTH(H548)</x:f>
        <x:v>16</x:v>
      </x:c>
      <x:c r="M548" s="36" t="n">
        <x:f>DATE(YEAR(H548),MONTH(H548),1)</x:f>
        <x:v>45717</x:v>
      </x:c>
      <x:c r="N548" s="36" t="str">
        <x:f>IF(I548="","",DATE(YEAR(I548),MONTH(I548),1))</x:f>
      </x:c>
    </x:row>
    <x:row r="549">
      <x:c r="A549" s="16" t="str">
        <x:v>HG-01548</x:v>
      </x:c>
      <x:c r="B549" s="16" t="str">
        <x:v>Asif Hasan</x:v>
      </x:c>
      <x:c r="C549" s="16" t="str">
        <x:v>Male</x:v>
      </x:c>
      <x:c r="D549" s="16" t="str">
        <x:v>Finance &amp; Accounts</x:v>
      </x:c>
      <x:c r="E549" s="16" t="str">
        <x:v>Assistant Manager - Finance</x:v>
      </x:c>
      <x:c r="F549" s="16" t="str">
        <x:v>Gazipur Plant</x:v>
      </x:c>
      <x:c r="G549" s="16" t="str">
        <x:v>Permanent</x:v>
      </x:c>
      <x:c r="H549" s="35" t="n">
        <x:v>45722</x:v>
      </x:c>
      <x:c r="I549" s="35"/>
      <x:c r="J549" s="16" t="str"/>
      <x:c r="K549" s="16" t="str">
        <x:f>IF(I549="","Active","Exited")</x:f>
        <x:v>Active</x:v>
      </x:c>
      <x:c r="L549" s="16" t="n">
        <x:f>(YEAR(IF(I549="",TODAY(),I549))-YEAR(H549))*12+MONTH(IF(I549="",TODAY(),I549))-MONTH(H549)</x:f>
        <x:v>16</x:v>
      </x:c>
      <x:c r="M549" s="36" t="n">
        <x:f>DATE(YEAR(H549),MONTH(H549),1)</x:f>
        <x:v>45717</x:v>
      </x:c>
      <x:c r="N549" s="36" t="str">
        <x:f>IF(I549="","",DATE(YEAR(I549),MONTH(I549),1))</x:f>
      </x:c>
    </x:row>
    <x:row r="550">
      <x:c r="A550" s="16" t="str">
        <x:v>HG-01549</x:v>
      </x:c>
      <x:c r="B550" s="16" t="str">
        <x:v>Nazmul Chowdhury</x:v>
      </x:c>
      <x:c r="C550" s="16" t="str">
        <x:v>Male</x:v>
      </x:c>
      <x:c r="D550" s="16" t="str">
        <x:v>Finance &amp; Accounts</x:v>
      </x:c>
      <x:c r="E550" s="16" t="str">
        <x:v>Payroll Executive</x:v>
      </x:c>
      <x:c r="F550" s="16" t="str">
        <x:v>Narayanganj Plant</x:v>
      </x:c>
      <x:c r="G550" s="16" t="str">
        <x:v>Permanent</x:v>
      </x:c>
      <x:c r="H550" s="35" t="n">
        <x:v>45727</x:v>
      </x:c>
      <x:c r="I550" s="35"/>
      <x:c r="J550" s="16" t="str"/>
      <x:c r="K550" s="16" t="str">
        <x:f>IF(I550="","Active","Exited")</x:f>
        <x:v>Active</x:v>
      </x:c>
      <x:c r="L550" s="16" t="n">
        <x:f>(YEAR(IF(I550="",TODAY(),I550))-YEAR(H550))*12+MONTH(IF(I550="",TODAY(),I550))-MONTH(H550)</x:f>
        <x:v>16</x:v>
      </x:c>
      <x:c r="M550" s="36" t="n">
        <x:f>DATE(YEAR(H550),MONTH(H550),1)</x:f>
        <x:v>45717</x:v>
      </x:c>
      <x:c r="N550" s="36" t="str">
        <x:f>IF(I550="","",DATE(YEAR(I550),MONTH(I550),1))</x:f>
      </x:c>
    </x:row>
    <x:row r="551">
      <x:c r="A551" s="16" t="str">
        <x:v>HG-01550</x:v>
      </x:c>
      <x:c r="B551" s="16" t="str">
        <x:v>Tasnim Rahman</x:v>
      </x:c>
      <x:c r="C551" s="16" t="str">
        <x:v>Female</x:v>
      </x:c>
      <x:c r="D551" s="16" t="str">
        <x:v>Sales &amp; Marketing</x:v>
      </x:c>
      <x:c r="E551" s="16" t="str">
        <x:v>Assistant Manager - Sales</x:v>
      </x:c>
      <x:c r="F551" s="16" t="str">
        <x:v>Dhaka Head Office</x:v>
      </x:c>
      <x:c r="G551" s="16" t="str">
        <x:v>Probation</x:v>
      </x:c>
      <x:c r="H551" s="35" t="n">
        <x:v>45727</x:v>
      </x:c>
      <x:c r="I551" s="35"/>
      <x:c r="J551" s="16" t="str"/>
      <x:c r="K551" s="16" t="str">
        <x:f>IF(I551="","Active","Exited")</x:f>
        <x:v>Active</x:v>
      </x:c>
      <x:c r="L551" s="16" t="n">
        <x:f>(YEAR(IF(I551="",TODAY(),I551))-YEAR(H551))*12+MONTH(IF(I551="",TODAY(),I551))-MONTH(H551)</x:f>
        <x:v>16</x:v>
      </x:c>
      <x:c r="M551" s="36" t="n">
        <x:f>DATE(YEAR(H551),MONTH(H551),1)</x:f>
        <x:v>45717</x:v>
      </x:c>
      <x:c r="N551" s="36" t="str">
        <x:f>IF(I551="","",DATE(YEAR(I551),MONTH(I551),1))</x:f>
      </x:c>
    </x:row>
    <x:row r="552">
      <x:c r="A552" s="16" t="str">
        <x:v>HG-01551</x:v>
      </x:c>
      <x:c r="B552" s="16" t="str">
        <x:v>Mizan Alam</x:v>
      </x:c>
      <x:c r="C552" s="16" t="str">
        <x:v>Male</x:v>
      </x:c>
      <x:c r="D552" s="16" t="str">
        <x:v>Sales &amp; Marketing</x:v>
      </x:c>
      <x:c r="E552" s="16" t="str">
        <x:v>Assistant Manager - Sales</x:v>
      </x:c>
      <x:c r="F552" s="16" t="str">
        <x:v>Dhaka Head Office</x:v>
      </x:c>
      <x:c r="G552" s="16" t="str">
        <x:v>Permanent</x:v>
      </x:c>
      <x:c r="H552" s="35" t="n">
        <x:v>45740</x:v>
      </x:c>
      <x:c r="I552" s="35" t="n">
        <x:v>45959</x:v>
      </x:c>
      <x:c r="J552" s="16" t="str">
        <x:v>Better Opportunity</x:v>
      </x:c>
      <x:c r="K552" s="16" t="str">
        <x:f>IF(I552="","Active","Exited")</x:f>
        <x:v>Exited</x:v>
      </x:c>
      <x:c r="L552" s="16" t="n">
        <x:f>(YEAR(IF(I552="",TODAY(),I552))-YEAR(H552))*12+MONTH(IF(I552="",TODAY(),I552))-MONTH(H552)</x:f>
        <x:v>7</x:v>
      </x:c>
      <x:c r="M552" s="36" t="n">
        <x:f>DATE(YEAR(H552),MONTH(H552),1)</x:f>
        <x:v>45717</x:v>
      </x:c>
      <x:c r="N552" s="36" t="n">
        <x:f>IF(I552="","",DATE(YEAR(I552),MONTH(I552),1))</x:f>
        <x:v>45931</x:v>
      </x:c>
    </x:row>
    <x:row r="553">
      <x:c r="A553" s="16" t="str">
        <x:v>HG-01552</x:v>
      </x:c>
      <x:c r="B553" s="16" t="str">
        <x:v>Nazmul Miah</x:v>
      </x:c>
      <x:c r="C553" s="16" t="str">
        <x:v>Male</x:v>
      </x:c>
      <x:c r="D553" s="16" t="str">
        <x:v>Quality Assurance</x:v>
      </x:c>
      <x:c r="E553" s="16" t="str">
        <x:v>Compliance Executive</x:v>
      </x:c>
      <x:c r="F553" s="16" t="str">
        <x:v>Gazipur Plant</x:v>
      </x:c>
      <x:c r="G553" s="16" t="str">
        <x:v>Permanent</x:v>
      </x:c>
      <x:c r="H553" s="35" t="n">
        <x:v>45738</x:v>
      </x:c>
      <x:c r="I553" s="35"/>
      <x:c r="J553" s="16" t="str"/>
      <x:c r="K553" s="16" t="str">
        <x:f>IF(I553="","Active","Exited")</x:f>
        <x:v>Active</x:v>
      </x:c>
      <x:c r="L553" s="16" t="n">
        <x:f>(YEAR(IF(I553="",TODAY(),I553))-YEAR(H553))*12+MONTH(IF(I553="",TODAY(),I553))-MONTH(H553)</x:f>
        <x:v>16</x:v>
      </x:c>
      <x:c r="M553" s="36" t="n">
        <x:f>DATE(YEAR(H553),MONTH(H553),1)</x:f>
        <x:v>45717</x:v>
      </x:c>
      <x:c r="N553" s="36" t="str">
        <x:f>IF(I553="","",DATE(YEAR(I553),MONTH(I553),1))</x:f>
      </x:c>
    </x:row>
    <x:row r="554">
      <x:c r="A554" s="16" t="str">
        <x:v>HG-01553</x:v>
      </x:c>
      <x:c r="B554" s="16" t="str">
        <x:v>Sumaiya Sarker</x:v>
      </x:c>
      <x:c r="C554" s="16" t="str">
        <x:v>Female</x:v>
      </x:c>
      <x:c r="D554" s="16" t="str">
        <x:v>Production</x:v>
      </x:c>
      <x:c r="E554" s="16" t="str">
        <x:v>Senior Operator</x:v>
      </x:c>
      <x:c r="F554" s="16" t="str">
        <x:v>Narayanganj Plant</x:v>
      </x:c>
      <x:c r="G554" s="16" t="str">
        <x:v>Contract</x:v>
      </x:c>
      <x:c r="H554" s="35" t="n">
        <x:v>45723</x:v>
      </x:c>
      <x:c r="I554" s="35"/>
      <x:c r="J554" s="16" t="str"/>
      <x:c r="K554" s="16" t="str">
        <x:f>IF(I554="","Active","Exited")</x:f>
        <x:v>Active</x:v>
      </x:c>
      <x:c r="L554" s="16" t="n">
        <x:f>(YEAR(IF(I554="",TODAY(),I554))-YEAR(H554))*12+MONTH(IF(I554="",TODAY(),I554))-MONTH(H554)</x:f>
        <x:v>16</x:v>
      </x:c>
      <x:c r="M554" s="36" t="n">
        <x:f>DATE(YEAR(H554),MONTH(H554),1)</x:f>
        <x:v>45717</x:v>
      </x:c>
      <x:c r="N554" s="36" t="str">
        <x:f>IF(I554="","",DATE(YEAR(I554),MONTH(I554),1))</x:f>
      </x:c>
    </x:row>
    <x:row r="555">
      <x:c r="A555" s="16" t="str">
        <x:v>HG-01554</x:v>
      </x:c>
      <x:c r="B555" s="16" t="str">
        <x:v>Sadika Karim</x:v>
      </x:c>
      <x:c r="C555" s="16" t="str">
        <x:v>Female</x:v>
      </x:c>
      <x:c r="D555" s="16" t="str">
        <x:v>Production</x:v>
      </x:c>
      <x:c r="E555" s="16" t="str">
        <x:v>Production Officer</x:v>
      </x:c>
      <x:c r="F555" s="16" t="str">
        <x:v>Gazipur Plant</x:v>
      </x:c>
      <x:c r="G555" s="16" t="str">
        <x:v>Permanent</x:v>
      </x:c>
      <x:c r="H555" s="35" t="n">
        <x:v>45719</x:v>
      </x:c>
      <x:c r="I555" s="35"/>
      <x:c r="J555" s="16" t="str"/>
      <x:c r="K555" s="16" t="str">
        <x:f>IF(I555="","Active","Exited")</x:f>
        <x:v>Active</x:v>
      </x:c>
      <x:c r="L555" s="16" t="n">
        <x:f>(YEAR(IF(I555="",TODAY(),I555))-YEAR(H555))*12+MONTH(IF(I555="",TODAY(),I555))-MONTH(H555)</x:f>
        <x:v>16</x:v>
      </x:c>
      <x:c r="M555" s="36" t="n">
        <x:f>DATE(YEAR(H555),MONTH(H555),1)</x:f>
        <x:v>45717</x:v>
      </x:c>
      <x:c r="N555" s="36" t="str">
        <x:f>IF(I555="","",DATE(YEAR(I555),MONTH(I555),1))</x:f>
      </x:c>
    </x:row>
    <x:row r="556">
      <x:c r="A556" s="16" t="str">
        <x:v>HG-01555</x:v>
      </x:c>
      <x:c r="B556" s="16" t="str">
        <x:v>Sabbir Hossain</x:v>
      </x:c>
      <x:c r="C556" s="16" t="str">
        <x:v>Male</x:v>
      </x:c>
      <x:c r="D556" s="16" t="str">
        <x:v>Human Resources</x:v>
      </x:c>
      <x:c r="E556" s="16" t="str">
        <x:v>HR Business Executive</x:v>
      </x:c>
      <x:c r="F556" s="16" t="str">
        <x:v>Dhaka Head Office</x:v>
      </x:c>
      <x:c r="G556" s="16" t="str">
        <x:v>Permanent</x:v>
      </x:c>
      <x:c r="H556" s="35" t="n">
        <x:v>45764</x:v>
      </x:c>
      <x:c r="I556" s="35"/>
      <x:c r="J556" s="16" t="str"/>
      <x:c r="K556" s="16" t="str">
        <x:f>IF(I556="","Active","Exited")</x:f>
        <x:v>Active</x:v>
      </x:c>
      <x:c r="L556" s="16" t="n">
        <x:f>(YEAR(IF(I556="",TODAY(),I556))-YEAR(H556))*12+MONTH(IF(I556="",TODAY(),I556))-MONTH(H556)</x:f>
        <x:v>15</x:v>
      </x:c>
      <x:c r="M556" s="36" t="n">
        <x:f>DATE(YEAR(H556),MONTH(H556),1)</x:f>
        <x:v>45748</x:v>
      </x:c>
      <x:c r="N556" s="36" t="str">
        <x:f>IF(I556="","",DATE(YEAR(I556),MONTH(I556),1))</x:f>
      </x:c>
    </x:row>
    <x:row r="557">
      <x:c r="A557" s="16" t="str">
        <x:v>HG-01556</x:v>
      </x:c>
      <x:c r="B557" s="16" t="str">
        <x:v>Nazmul Alam</x:v>
      </x:c>
      <x:c r="C557" s="16" t="str">
        <x:v>Male</x:v>
      </x:c>
      <x:c r="D557" s="16" t="str">
        <x:v>Supply Chain</x:v>
      </x:c>
      <x:c r="E557" s="16" t="str">
        <x:v>Assistant Manager - Supply Chain</x:v>
      </x:c>
      <x:c r="F557" s="16" t="str">
        <x:v>Gazipur Plant</x:v>
      </x:c>
      <x:c r="G557" s="16" t="str">
        <x:v>Contract</x:v>
      </x:c>
      <x:c r="H557" s="35" t="n">
        <x:v>45777</x:v>
      </x:c>
      <x:c r="I557" s="35"/>
      <x:c r="J557" s="16" t="str"/>
      <x:c r="K557" s="16" t="str">
        <x:f>IF(I557="","Active","Exited")</x:f>
        <x:v>Active</x:v>
      </x:c>
      <x:c r="L557" s="16" t="n">
        <x:f>(YEAR(IF(I557="",TODAY(),I557))-YEAR(H557))*12+MONTH(IF(I557="",TODAY(),I557))-MONTH(H557)</x:f>
        <x:v>15</x:v>
      </x:c>
      <x:c r="M557" s="36" t="n">
        <x:f>DATE(YEAR(H557),MONTH(H557),1)</x:f>
        <x:v>45748</x:v>
      </x:c>
      <x:c r="N557" s="36" t="str">
        <x:f>IF(I557="","",DATE(YEAR(I557),MONTH(I557),1))</x:f>
      </x:c>
    </x:row>
    <x:row r="558">
      <x:c r="A558" s="16" t="str">
        <x:v>HG-01557</x:v>
      </x:c>
      <x:c r="B558" s="16" t="str">
        <x:v>Arif Rahman</x:v>
      </x:c>
      <x:c r="C558" s="16" t="str">
        <x:v>Male</x:v>
      </x:c>
      <x:c r="D558" s="16" t="str">
        <x:v>Supply Chain</x:v>
      </x:c>
      <x:c r="E558" s="16" t="str">
        <x:v>Assistant Manager - Supply Chain</x:v>
      </x:c>
      <x:c r="F558" s="16" t="str">
        <x:v>Gazipur Plant</x:v>
      </x:c>
      <x:c r="G558" s="16" t="str">
        <x:v>Probation</x:v>
      </x:c>
      <x:c r="H558" s="35" t="n">
        <x:v>45759</x:v>
      </x:c>
      <x:c r="I558" s="35"/>
      <x:c r="J558" s="16" t="str"/>
      <x:c r="K558" s="16" t="str">
        <x:f>IF(I558="","Active","Exited")</x:f>
        <x:v>Active</x:v>
      </x:c>
      <x:c r="L558" s="16" t="n">
        <x:f>(YEAR(IF(I558="",TODAY(),I558))-YEAR(H558))*12+MONTH(IF(I558="",TODAY(),I558))-MONTH(H558)</x:f>
        <x:v>15</x:v>
      </x:c>
      <x:c r="M558" s="36" t="n">
        <x:f>DATE(YEAR(H558),MONTH(H558),1)</x:f>
        <x:v>45748</x:v>
      </x:c>
      <x:c r="N558" s="36" t="str">
        <x:f>IF(I558="","",DATE(YEAR(I558),MONTH(I558),1))</x:f>
      </x:c>
    </x:row>
    <x:row r="559">
      <x:c r="A559" s="16" t="str">
        <x:v>HG-01558</x:v>
      </x:c>
      <x:c r="B559" s="16" t="str">
        <x:v>Fahim Ahmed</x:v>
      </x:c>
      <x:c r="C559" s="16" t="str">
        <x:v>Male</x:v>
      </x:c>
      <x:c r="D559" s="16" t="str">
        <x:v>Production</x:v>
      </x:c>
      <x:c r="E559" s="16" t="str">
        <x:v>Production Operator</x:v>
      </x:c>
      <x:c r="F559" s="16" t="str">
        <x:v>Gazipur Plant</x:v>
      </x:c>
      <x:c r="G559" s="16" t="str">
        <x:v>Permanent</x:v>
      </x:c>
      <x:c r="H559" s="35" t="n">
        <x:v>45772</x:v>
      </x:c>
      <x:c r="I559" s="35"/>
      <x:c r="J559" s="16" t="str"/>
      <x:c r="K559" s="16" t="str">
        <x:f>IF(I559="","Active","Exited")</x:f>
        <x:v>Active</x:v>
      </x:c>
      <x:c r="L559" s="16" t="n">
        <x:f>(YEAR(IF(I559="",TODAY(),I559))-YEAR(H559))*12+MONTH(IF(I559="",TODAY(),I559))-MONTH(H559)</x:f>
        <x:v>15</x:v>
      </x:c>
      <x:c r="M559" s="36" t="n">
        <x:f>DATE(YEAR(H559),MONTH(H559),1)</x:f>
        <x:v>45748</x:v>
      </x:c>
      <x:c r="N559" s="36" t="str">
        <x:f>IF(I559="","",DATE(YEAR(I559),MONTH(I559),1))</x:f>
      </x:c>
    </x:row>
    <x:row r="560">
      <x:c r="A560" s="16" t="str">
        <x:v>HG-01559</x:v>
      </x:c>
      <x:c r="B560" s="16" t="str">
        <x:v>Jannat Hossain</x:v>
      </x:c>
      <x:c r="C560" s="16" t="str">
        <x:v>Female</x:v>
      </x:c>
      <x:c r="D560" s="16" t="str">
        <x:v>Finance &amp; Accounts</x:v>
      </x:c>
      <x:c r="E560" s="16" t="str">
        <x:v>Senior Accounts Executive</x:v>
      </x:c>
      <x:c r="F560" s="16" t="str">
        <x:v>Dhaka Head Office</x:v>
      </x:c>
      <x:c r="G560" s="16" t="str">
        <x:v>Probation</x:v>
      </x:c>
      <x:c r="H560" s="35" t="n">
        <x:v>45759</x:v>
      </x:c>
      <x:c r="I560" s="35"/>
      <x:c r="J560" s="16" t="str"/>
      <x:c r="K560" s="16" t="str">
        <x:f>IF(I560="","Active","Exited")</x:f>
        <x:v>Active</x:v>
      </x:c>
      <x:c r="L560" s="16" t="n">
        <x:f>(YEAR(IF(I560="",TODAY(),I560))-YEAR(H560))*12+MONTH(IF(I560="",TODAY(),I560))-MONTH(H560)</x:f>
        <x:v>15</x:v>
      </x:c>
      <x:c r="M560" s="36" t="n">
        <x:f>DATE(YEAR(H560),MONTH(H560),1)</x:f>
        <x:v>45748</x:v>
      </x:c>
      <x:c r="N560" s="36" t="str">
        <x:f>IF(I560="","",DATE(YEAR(I560),MONTH(I560),1))</x:f>
      </x:c>
    </x:row>
    <x:row r="561">
      <x:c r="A561" s="16" t="str">
        <x:v>HG-01560</x:v>
      </x:c>
      <x:c r="B561" s="16" t="str">
        <x:v>Nayeem Uddin</x:v>
      </x:c>
      <x:c r="C561" s="16" t="str">
        <x:v>Male</x:v>
      </x:c>
      <x:c r="D561" s="16" t="str">
        <x:v>Production</x:v>
      </x:c>
      <x:c r="E561" s="16" t="str">
        <x:v>Senior Operator</x:v>
      </x:c>
      <x:c r="F561" s="16" t="str">
        <x:v>Gazipur Plant</x:v>
      </x:c>
      <x:c r="G561" s="16" t="str">
        <x:v>Probation</x:v>
      </x:c>
      <x:c r="H561" s="35" t="n">
        <x:v>45770</x:v>
      </x:c>
      <x:c r="I561" s="35" t="n">
        <x:v>45858</x:v>
      </x:c>
      <x:c r="J561" s="16" t="str">
        <x:v>Better Opportunity</x:v>
      </x:c>
      <x:c r="K561" s="16" t="str">
        <x:f>IF(I561="","Active","Exited")</x:f>
        <x:v>Exited</x:v>
      </x:c>
      <x:c r="L561" s="16" t="n">
        <x:f>(YEAR(IF(I561="",TODAY(),I561))-YEAR(H561))*12+MONTH(IF(I561="",TODAY(),I561))-MONTH(H561)</x:f>
        <x:v>3</x:v>
      </x:c>
      <x:c r="M561" s="36" t="n">
        <x:f>DATE(YEAR(H561),MONTH(H561),1)</x:f>
        <x:v>45748</x:v>
      </x:c>
      <x:c r="N561" s="36" t="n">
        <x:f>IF(I561="","",DATE(YEAR(I561),MONTH(I561),1))</x:f>
        <x:v>45839</x:v>
      </x:c>
    </x:row>
    <x:row r="562">
      <x:c r="A562" s="16" t="str">
        <x:v>HG-01561</x:v>
      </x:c>
      <x:c r="B562" s="16" t="str">
        <x:v>Hasan Akter</x:v>
      </x:c>
      <x:c r="C562" s="16" t="str">
        <x:v>Male</x:v>
      </x:c>
      <x:c r="D562" s="16" t="str">
        <x:v>Sales &amp; Marketing</x:v>
      </x:c>
      <x:c r="E562" s="16" t="str">
        <x:v>Key Account Executive</x:v>
      </x:c>
      <x:c r="F562" s="16" t="str">
        <x:v>Dhaka Head Office</x:v>
      </x:c>
      <x:c r="G562" s="16" t="str">
        <x:v>Probation</x:v>
      </x:c>
      <x:c r="H562" s="35" t="n">
        <x:v>45769</x:v>
      </x:c>
      <x:c r="I562" s="35" t="n">
        <x:v>46150</x:v>
      </x:c>
      <x:c r="J562" s="16" t="str">
        <x:v>Performance</x:v>
      </x:c>
      <x:c r="K562" s="16" t="str">
        <x:f>IF(I562="","Active","Exited")</x:f>
        <x:v>Exited</x:v>
      </x:c>
      <x:c r="L562" s="16" t="n">
        <x:f>(YEAR(IF(I562="",TODAY(),I562))-YEAR(H562))*12+MONTH(IF(I562="",TODAY(),I562))-MONTH(H562)</x:f>
        <x:v>13</x:v>
      </x:c>
      <x:c r="M562" s="36" t="n">
        <x:f>DATE(YEAR(H562),MONTH(H562),1)</x:f>
        <x:v>45748</x:v>
      </x:c>
      <x:c r="N562" s="36" t="n">
        <x:f>IF(I562="","",DATE(YEAR(I562),MONTH(I562),1))</x:f>
        <x:v>46143</x:v>
      </x:c>
    </x:row>
    <x:row r="563">
      <x:c r="A563" s="16" t="str">
        <x:v>HG-01562</x:v>
      </x:c>
      <x:c r="B563" s="16" t="str">
        <x:v>Sajid Sarker</x:v>
      </x:c>
      <x:c r="C563" s="16" t="str">
        <x:v>Male</x:v>
      </x:c>
      <x:c r="D563" s="16" t="str">
        <x:v>Quality Assurance</x:v>
      </x:c>
      <x:c r="E563" s="16" t="str">
        <x:v>Assistant Manager - QA</x:v>
      </x:c>
      <x:c r="F563" s="16" t="str">
        <x:v>Narayanganj Plant</x:v>
      </x:c>
      <x:c r="G563" s="16" t="str">
        <x:v>Contract</x:v>
      </x:c>
      <x:c r="H563" s="35" t="n">
        <x:v>45757</x:v>
      </x:c>
      <x:c r="I563" s="35"/>
      <x:c r="J563" s="16" t="str"/>
      <x:c r="K563" s="16" t="str">
        <x:f>IF(I563="","Active","Exited")</x:f>
        <x:v>Active</x:v>
      </x:c>
      <x:c r="L563" s="16" t="n">
        <x:f>(YEAR(IF(I563="",TODAY(),I563))-YEAR(H563))*12+MONTH(IF(I563="",TODAY(),I563))-MONTH(H563)</x:f>
        <x:v>15</x:v>
      </x:c>
      <x:c r="M563" s="36" t="n">
        <x:f>DATE(YEAR(H563),MONTH(H563),1)</x:f>
        <x:v>45748</x:v>
      </x:c>
      <x:c r="N563" s="36" t="str">
        <x:f>IF(I563="","",DATE(YEAR(I563),MONTH(I563),1))</x:f>
      </x:c>
    </x:row>
    <x:row r="564">
      <x:c r="A564" s="16" t="str">
        <x:v>HG-01563</x:v>
      </x:c>
      <x:c r="B564" s="16" t="str">
        <x:v>Nabila Miah</x:v>
      </x:c>
      <x:c r="C564" s="16" t="str">
        <x:v>Female</x:v>
      </x:c>
      <x:c r="D564" s="16" t="str">
        <x:v>Supply Chain</x:v>
      </x:c>
      <x:c r="E564" s="16" t="str">
        <x:v>Procurement Executive</x:v>
      </x:c>
      <x:c r="F564" s="16" t="str">
        <x:v>Gazipur Plant</x:v>
      </x:c>
      <x:c r="G564" s="16" t="str">
        <x:v>Permanent</x:v>
      </x:c>
      <x:c r="H564" s="35" t="n">
        <x:v>45751</x:v>
      </x:c>
      <x:c r="I564" s="35"/>
      <x:c r="J564" s="16" t="str"/>
      <x:c r="K564" s="16" t="str">
        <x:f>IF(I564="","Active","Exited")</x:f>
        <x:v>Active</x:v>
      </x:c>
      <x:c r="L564" s="16" t="n">
        <x:f>(YEAR(IF(I564="",TODAY(),I564))-YEAR(H564))*12+MONTH(IF(I564="",TODAY(),I564))-MONTH(H564)</x:f>
        <x:v>15</x:v>
      </x:c>
      <x:c r="M564" s="36" t="n">
        <x:f>DATE(YEAR(H564),MONTH(H564),1)</x:f>
        <x:v>45748</x:v>
      </x:c>
      <x:c r="N564" s="36" t="str">
        <x:f>IF(I564="","",DATE(YEAR(I564),MONTH(I564),1))</x:f>
      </x:c>
    </x:row>
    <x:row r="565">
      <x:c r="A565" s="16" t="str">
        <x:v>HG-01564</x:v>
      </x:c>
      <x:c r="B565" s="16" t="str">
        <x:v>Raisa Kabir</x:v>
      </x:c>
      <x:c r="C565" s="16" t="str">
        <x:v>Female</x:v>
      </x:c>
      <x:c r="D565" s="16" t="str">
        <x:v>Supply Chain</x:v>
      </x:c>
      <x:c r="E565" s="16" t="str">
        <x:v>Logistics Executive</x:v>
      </x:c>
      <x:c r="F565" s="16" t="str">
        <x:v>Narayanganj Plant</x:v>
      </x:c>
      <x:c r="G565" s="16" t="str">
        <x:v>Contract</x:v>
      </x:c>
      <x:c r="H565" s="35" t="n">
        <x:v>45793</x:v>
      </x:c>
      <x:c r="I565" s="35"/>
      <x:c r="J565" s="16" t="str"/>
      <x:c r="K565" s="16" t="str">
        <x:f>IF(I565="","Active","Exited")</x:f>
        <x:v>Active</x:v>
      </x:c>
      <x:c r="L565" s="16" t="n">
        <x:f>(YEAR(IF(I565="",TODAY(),I565))-YEAR(H565))*12+MONTH(IF(I565="",TODAY(),I565))-MONTH(H565)</x:f>
        <x:v>14</x:v>
      </x:c>
      <x:c r="M565" s="36" t="n">
        <x:f>DATE(YEAR(H565),MONTH(H565),1)</x:f>
        <x:v>45778</x:v>
      </x:c>
      <x:c r="N565" s="36" t="str">
        <x:f>IF(I565="","",DATE(YEAR(I565),MONTH(I565),1))</x:f>
      </x:c>
    </x:row>
    <x:row r="566">
      <x:c r="A566" s="16" t="str">
        <x:v>HG-01565</x:v>
      </x:c>
      <x:c r="B566" s="16" t="str">
        <x:v>Imran Islam</x:v>
      </x:c>
      <x:c r="C566" s="16" t="str">
        <x:v>Male</x:v>
      </x:c>
      <x:c r="D566" s="16" t="str">
        <x:v>Supply Chain</x:v>
      </x:c>
      <x:c r="E566" s="16" t="str">
        <x:v>Inventory Officer</x:v>
      </x:c>
      <x:c r="F566" s="16" t="str">
        <x:v>Gazipur Plant</x:v>
      </x:c>
      <x:c r="G566" s="16" t="str">
        <x:v>Probation</x:v>
      </x:c>
      <x:c r="H566" s="35" t="n">
        <x:v>45806</x:v>
      </x:c>
      <x:c r="I566" s="35"/>
      <x:c r="J566" s="16" t="str"/>
      <x:c r="K566" s="16" t="str">
        <x:f>IF(I566="","Active","Exited")</x:f>
        <x:v>Active</x:v>
      </x:c>
      <x:c r="L566" s="16" t="n">
        <x:f>(YEAR(IF(I566="",TODAY(),I566))-YEAR(H566))*12+MONTH(IF(I566="",TODAY(),I566))-MONTH(H566)</x:f>
        <x:v>14</x:v>
      </x:c>
      <x:c r="M566" s="36" t="n">
        <x:f>DATE(YEAR(H566),MONTH(H566),1)</x:f>
        <x:v>45778</x:v>
      </x:c>
      <x:c r="N566" s="36" t="str">
        <x:f>IF(I566="","",DATE(YEAR(I566),MONTH(I566),1))</x:f>
      </x:c>
    </x:row>
    <x:row r="567">
      <x:c r="A567" s="16" t="str">
        <x:v>HG-01566</x:v>
      </x:c>
      <x:c r="B567" s="16" t="str">
        <x:v>Arif Hasan</x:v>
      </x:c>
      <x:c r="C567" s="16" t="str">
        <x:v>Male</x:v>
      </x:c>
      <x:c r="D567" s="16" t="str">
        <x:v>Production</x:v>
      </x:c>
      <x:c r="E567" s="16" t="str">
        <x:v>Production Officer</x:v>
      </x:c>
      <x:c r="F567" s="16" t="str">
        <x:v>Gazipur Plant</x:v>
      </x:c>
      <x:c r="G567" s="16" t="str">
        <x:v>Permanent</x:v>
      </x:c>
      <x:c r="H567" s="35" t="n">
        <x:v>45784</x:v>
      </x:c>
      <x:c r="I567" s="35" t="n">
        <x:v>46119</x:v>
      </x:c>
      <x:c r="J567" s="16" t="str">
        <x:v>Performance</x:v>
      </x:c>
      <x:c r="K567" s="16" t="str">
        <x:f>IF(I567="","Active","Exited")</x:f>
        <x:v>Exited</x:v>
      </x:c>
      <x:c r="L567" s="16" t="n">
        <x:f>(YEAR(IF(I567="",TODAY(),I567))-YEAR(H567))*12+MONTH(IF(I567="",TODAY(),I567))-MONTH(H567)</x:f>
        <x:v>11</x:v>
      </x:c>
      <x:c r="M567" s="36" t="n">
        <x:f>DATE(YEAR(H567),MONTH(H567),1)</x:f>
        <x:v>45778</x:v>
      </x:c>
      <x:c r="N567" s="36" t="n">
        <x:f>IF(I567="","",DATE(YEAR(I567),MONTH(I567),1))</x:f>
        <x:v>46113</x:v>
      </x:c>
    </x:row>
    <x:row r="568">
      <x:c r="A568" s="16" t="str">
        <x:v>HG-01567</x:v>
      </x:c>
      <x:c r="B568" s="16" t="str">
        <x:v>Hasan Miah</x:v>
      </x:c>
      <x:c r="C568" s="16" t="str">
        <x:v>Male</x:v>
      </x:c>
      <x:c r="D568" s="16" t="str">
        <x:v>Information Technology</x:v>
      </x:c>
      <x:c r="E568" s="16" t="str">
        <x:v>Data Analyst</x:v>
      </x:c>
      <x:c r="F568" s="16" t="str">
        <x:v>Gazipur Plant</x:v>
      </x:c>
      <x:c r="G568" s="16" t="str">
        <x:v>Permanent</x:v>
      </x:c>
      <x:c r="H568" s="35" t="n">
        <x:v>45797</x:v>
      </x:c>
      <x:c r="I568" s="35" t="n">
        <x:v>45955</x:v>
      </x:c>
      <x:c r="J568" s="16" t="str">
        <x:v>End of Contract</x:v>
      </x:c>
      <x:c r="K568" s="16" t="str">
        <x:f>IF(I568="","Active","Exited")</x:f>
        <x:v>Exited</x:v>
      </x:c>
      <x:c r="L568" s="16" t="n">
        <x:f>(YEAR(IF(I568="",TODAY(),I568))-YEAR(H568))*12+MONTH(IF(I568="",TODAY(),I568))-MONTH(H568)</x:f>
        <x:v>5</x:v>
      </x:c>
      <x:c r="M568" s="36" t="n">
        <x:f>DATE(YEAR(H568),MONTH(H568),1)</x:f>
        <x:v>45778</x:v>
      </x:c>
      <x:c r="N568" s="36" t="n">
        <x:f>IF(I568="","",DATE(YEAR(I568),MONTH(I568),1))</x:f>
        <x:v>45931</x:v>
      </x:c>
    </x:row>
    <x:row r="569">
      <x:c r="A569" s="16" t="str">
        <x:v>HG-01568</x:v>
      </x:c>
      <x:c r="B569" s="16" t="str">
        <x:v>Imran Islam</x:v>
      </x:c>
      <x:c r="C569" s="16" t="str">
        <x:v>Male</x:v>
      </x:c>
      <x:c r="D569" s="16" t="str">
        <x:v>Production</x:v>
      </x:c>
      <x:c r="E569" s="16" t="str">
        <x:v>Assistant Manager - Production</x:v>
      </x:c>
      <x:c r="F569" s="16" t="str">
        <x:v>Chattogram Office</x:v>
      </x:c>
      <x:c r="G569" s="16" t="str">
        <x:v>Probation</x:v>
      </x:c>
      <x:c r="H569" s="35" t="n">
        <x:v>45792</x:v>
      </x:c>
      <x:c r="I569" s="35"/>
      <x:c r="J569" s="16" t="str"/>
      <x:c r="K569" s="16" t="str">
        <x:f>IF(I569="","Active","Exited")</x:f>
        <x:v>Active</x:v>
      </x:c>
      <x:c r="L569" s="16" t="n">
        <x:f>(YEAR(IF(I569="",TODAY(),I569))-YEAR(H569))*12+MONTH(IF(I569="",TODAY(),I569))-MONTH(H569)</x:f>
        <x:v>14</x:v>
      </x:c>
      <x:c r="M569" s="36" t="n">
        <x:f>DATE(YEAR(H569),MONTH(H569),1)</x:f>
        <x:v>45778</x:v>
      </x:c>
      <x:c r="N569" s="36" t="str">
        <x:f>IF(I569="","",DATE(YEAR(I569),MONTH(I569),1))</x:f>
      </x:c>
    </x:row>
    <x:row r="570">
      <x:c r="A570" s="16" t="str">
        <x:v>HG-01569</x:v>
      </x:c>
      <x:c r="B570" s="16" t="str">
        <x:v>Farhan Chowdhury</x:v>
      </x:c>
      <x:c r="C570" s="16" t="str">
        <x:v>Male</x:v>
      </x:c>
      <x:c r="D570" s="16" t="str">
        <x:v>Production</x:v>
      </x:c>
      <x:c r="E570" s="16" t="str">
        <x:v>Senior Operator</x:v>
      </x:c>
      <x:c r="F570" s="16" t="str">
        <x:v>Narayanganj Plant</x:v>
      </x:c>
      <x:c r="G570" s="16" t="str">
        <x:v>Probation</x:v>
      </x:c>
      <x:c r="H570" s="35" t="n">
        <x:v>45794</x:v>
      </x:c>
      <x:c r="I570" s="35"/>
      <x:c r="J570" s="16" t="str"/>
      <x:c r="K570" s="16" t="str">
        <x:f>IF(I570="","Active","Exited")</x:f>
        <x:v>Active</x:v>
      </x:c>
      <x:c r="L570" s="16" t="n">
        <x:f>(YEAR(IF(I570="",TODAY(),I570))-YEAR(H570))*12+MONTH(IF(I570="",TODAY(),I570))-MONTH(H570)</x:f>
        <x:v>14</x:v>
      </x:c>
      <x:c r="M570" s="36" t="n">
        <x:f>DATE(YEAR(H570),MONTH(H570),1)</x:f>
        <x:v>45778</x:v>
      </x:c>
      <x:c r="N570" s="36" t="str">
        <x:f>IF(I570="","",DATE(YEAR(I570),MONTH(I570),1))</x:f>
      </x:c>
    </x:row>
    <x:row r="571">
      <x:c r="A571" s="16" t="str">
        <x:v>HG-01570</x:v>
      </x:c>
      <x:c r="B571" s="16" t="str">
        <x:v>Jannat Karim</x:v>
      </x:c>
      <x:c r="C571" s="16" t="str">
        <x:v>Female</x:v>
      </x:c>
      <x:c r="D571" s="16" t="str">
        <x:v>Production</x:v>
      </x:c>
      <x:c r="E571" s="16" t="str">
        <x:v>Senior Operator</x:v>
      </x:c>
      <x:c r="F571" s="16" t="str">
        <x:v>Gazipur Plant</x:v>
      </x:c>
      <x:c r="G571" s="16" t="str">
        <x:v>Permanent</x:v>
      </x:c>
      <x:c r="H571" s="35" t="n">
        <x:v>45801</x:v>
      </x:c>
      <x:c r="I571" s="35"/>
      <x:c r="J571" s="16" t="str"/>
      <x:c r="K571" s="16" t="str">
        <x:f>IF(I571="","Active","Exited")</x:f>
        <x:v>Active</x:v>
      </x:c>
      <x:c r="L571" s="16" t="n">
        <x:f>(YEAR(IF(I571="",TODAY(),I571))-YEAR(H571))*12+MONTH(IF(I571="",TODAY(),I571))-MONTH(H571)</x:f>
        <x:v>14</x:v>
      </x:c>
      <x:c r="M571" s="36" t="n">
        <x:f>DATE(YEAR(H571),MONTH(H571),1)</x:f>
        <x:v>45778</x:v>
      </x:c>
      <x:c r="N571" s="36" t="str">
        <x:f>IF(I571="","",DATE(YEAR(I571),MONTH(I571),1))</x:f>
      </x:c>
    </x:row>
    <x:row r="572">
      <x:c r="A572" s="16" t="str">
        <x:v>HG-01571</x:v>
      </x:c>
      <x:c r="B572" s="16" t="str">
        <x:v>Jubayer Karim</x:v>
      </x:c>
      <x:c r="C572" s="16" t="str">
        <x:v>Male</x:v>
      </x:c>
      <x:c r="D572" s="16" t="str">
        <x:v>Information Technology</x:v>
      </x:c>
      <x:c r="E572" s="16" t="str">
        <x:v>Assistant Manager - IT</x:v>
      </x:c>
      <x:c r="F572" s="16" t="str">
        <x:v>Narayanganj Plant</x:v>
      </x:c>
      <x:c r="G572" s="16" t="str">
        <x:v>Permanent</x:v>
      </x:c>
      <x:c r="H572" s="35" t="n">
        <x:v>45803</x:v>
      </x:c>
      <x:c r="I572" s="35" t="n">
        <x:v>45883</x:v>
      </x:c>
      <x:c r="J572" s="16" t="str">
        <x:v>Better Opportunity</x:v>
      </x:c>
      <x:c r="K572" s="16" t="str">
        <x:f>IF(I572="","Active","Exited")</x:f>
        <x:v>Exited</x:v>
      </x:c>
      <x:c r="L572" s="16" t="n">
        <x:f>(YEAR(IF(I572="",TODAY(),I572))-YEAR(H572))*12+MONTH(IF(I572="",TODAY(),I572))-MONTH(H572)</x:f>
        <x:v>3</x:v>
      </x:c>
      <x:c r="M572" s="36" t="n">
        <x:f>DATE(YEAR(H572),MONTH(H572),1)</x:f>
        <x:v>45778</x:v>
      </x:c>
      <x:c r="N572" s="36" t="n">
        <x:f>IF(I572="","",DATE(YEAR(I572),MONTH(I572),1))</x:f>
        <x:v>45870</x:v>
      </x:c>
    </x:row>
    <x:row r="573">
      <x:c r="A573" s="16" t="str">
        <x:v>HG-01572</x:v>
      </x:c>
      <x:c r="B573" s="16" t="str">
        <x:v>Rumana Hasan</x:v>
      </x:c>
      <x:c r="C573" s="16" t="str">
        <x:v>Female</x:v>
      </x:c>
      <x:c r="D573" s="16" t="str">
        <x:v>Production</x:v>
      </x:c>
      <x:c r="E573" s="16" t="str">
        <x:v>Production Operator</x:v>
      </x:c>
      <x:c r="F573" s="16" t="str">
        <x:v>Gazipur Plant</x:v>
      </x:c>
      <x:c r="G573" s="16" t="str">
        <x:v>Permanent</x:v>
      </x:c>
      <x:c r="H573" s="35" t="n">
        <x:v>45806</x:v>
      </x:c>
      <x:c r="I573" s="35"/>
      <x:c r="J573" s="16" t="str"/>
      <x:c r="K573" s="16" t="str">
        <x:f>IF(I573="","Active","Exited")</x:f>
        <x:v>Active</x:v>
      </x:c>
      <x:c r="L573" s="16" t="n">
        <x:f>(YEAR(IF(I573="",TODAY(),I573))-YEAR(H573))*12+MONTH(IF(I573="",TODAY(),I573))-MONTH(H573)</x:f>
        <x:v>14</x:v>
      </x:c>
      <x:c r="M573" s="36" t="n">
        <x:f>DATE(YEAR(H573),MONTH(H573),1)</x:f>
        <x:v>45778</x:v>
      </x:c>
      <x:c r="N573" s="36" t="str">
        <x:f>IF(I573="","",DATE(YEAR(I573),MONTH(I573),1))</x:f>
      </x:c>
    </x:row>
    <x:row r="574">
      <x:c r="A574" s="16" t="str">
        <x:v>HG-01573</x:v>
      </x:c>
      <x:c r="B574" s="16" t="str">
        <x:v>Jannat Chowdhury</x:v>
      </x:c>
      <x:c r="C574" s="16" t="str">
        <x:v>Female</x:v>
      </x:c>
      <x:c r="D574" s="16" t="str">
        <x:v>Supply Chain</x:v>
      </x:c>
      <x:c r="E574" s="16" t="str">
        <x:v>Inventory Officer</x:v>
      </x:c>
      <x:c r="F574" s="16" t="str">
        <x:v>Gazipur Plant</x:v>
      </x:c>
      <x:c r="G574" s="16" t="str">
        <x:v>Permanent</x:v>
      </x:c>
      <x:c r="H574" s="35" t="n">
        <x:v>45787</x:v>
      </x:c>
      <x:c r="I574" s="35" t="n">
        <x:v>45942</x:v>
      </x:c>
      <x:c r="J574" s="16" t="str">
        <x:v>Work-Life Balance</x:v>
      </x:c>
      <x:c r="K574" s="16" t="str">
        <x:f>IF(I574="","Active","Exited")</x:f>
        <x:v>Exited</x:v>
      </x:c>
      <x:c r="L574" s="16" t="n">
        <x:f>(YEAR(IF(I574="",TODAY(),I574))-YEAR(H574))*12+MONTH(IF(I574="",TODAY(),I574))-MONTH(H574)</x:f>
        <x:v>5</x:v>
      </x:c>
      <x:c r="M574" s="36" t="n">
        <x:f>DATE(YEAR(H574),MONTH(H574),1)</x:f>
        <x:v>45778</x:v>
      </x:c>
      <x:c r="N574" s="36" t="n">
        <x:f>IF(I574="","",DATE(YEAR(I574),MONTH(I574),1))</x:f>
        <x:v>45931</x:v>
      </x:c>
    </x:row>
    <x:row r="575">
      <x:c r="A575" s="16" t="str">
        <x:v>HG-01574</x:v>
      </x:c>
      <x:c r="B575" s="16" t="str">
        <x:v>Asif Ahmed</x:v>
      </x:c>
      <x:c r="C575" s="16" t="str">
        <x:v>Male</x:v>
      </x:c>
      <x:c r="D575" s="16" t="str">
        <x:v>Supply Chain</x:v>
      </x:c>
      <x:c r="E575" s="16" t="str">
        <x:v>Assistant Manager - Supply Chain</x:v>
      </x:c>
      <x:c r="F575" s="16" t="str">
        <x:v>Gazipur Plant</x:v>
      </x:c>
      <x:c r="G575" s="16" t="str">
        <x:v>Contract</x:v>
      </x:c>
      <x:c r="H575" s="35" t="n">
        <x:v>45804</x:v>
      </x:c>
      <x:c r="I575" s="35"/>
      <x:c r="J575" s="16" t="str"/>
      <x:c r="K575" s="16" t="str">
        <x:f>IF(I575="","Active","Exited")</x:f>
        <x:v>Active</x:v>
      </x:c>
      <x:c r="L575" s="16" t="n">
        <x:f>(YEAR(IF(I575="",TODAY(),I575))-YEAR(H575))*12+MONTH(IF(I575="",TODAY(),I575))-MONTH(H575)</x:f>
        <x:v>14</x:v>
      </x:c>
      <x:c r="M575" s="36" t="n">
        <x:f>DATE(YEAR(H575),MONTH(H575),1)</x:f>
        <x:v>45778</x:v>
      </x:c>
      <x:c r="N575" s="36" t="str">
        <x:f>IF(I575="","",DATE(YEAR(I575),MONTH(I575),1))</x:f>
      </x:c>
    </x:row>
    <x:row r="576">
      <x:c r="A576" s="16" t="str">
        <x:v>HG-01575</x:v>
      </x:c>
      <x:c r="B576" s="16" t="str">
        <x:v>Jubayer Hasan</x:v>
      </x:c>
      <x:c r="C576" s="16" t="str">
        <x:v>Male</x:v>
      </x:c>
      <x:c r="D576" s="16" t="str">
        <x:v>Finance &amp; Accounts</x:v>
      </x:c>
      <x:c r="E576" s="16" t="str">
        <x:v>Payroll Executive</x:v>
      </x:c>
      <x:c r="F576" s="16" t="str">
        <x:v>Dhaka Head Office</x:v>
      </x:c>
      <x:c r="G576" s="16" t="str">
        <x:v>Contract</x:v>
      </x:c>
      <x:c r="H576" s="35" t="n">
        <x:v>45788</x:v>
      </x:c>
      <x:c r="I576" s="35" t="n">
        <x:v>46006</x:v>
      </x:c>
      <x:c r="J576" s="16" t="str">
        <x:v>End of Contract</x:v>
      </x:c>
      <x:c r="K576" s="16" t="str">
        <x:f>IF(I576="","Active","Exited")</x:f>
        <x:v>Exited</x:v>
      </x:c>
      <x:c r="L576" s="16" t="n">
        <x:f>(YEAR(IF(I576="",TODAY(),I576))-YEAR(H576))*12+MONTH(IF(I576="",TODAY(),I576))-MONTH(H576)</x:f>
        <x:v>7</x:v>
      </x:c>
      <x:c r="M576" s="36" t="n">
        <x:f>DATE(YEAR(H576),MONTH(H576),1)</x:f>
        <x:v>45778</x:v>
      </x:c>
      <x:c r="N576" s="36" t="n">
        <x:f>IF(I576="","",DATE(YEAR(I576),MONTH(I576),1))</x:f>
        <x:v>45992</x:v>
      </x:c>
    </x:row>
    <x:row r="577">
      <x:c r="A577" s="16" t="str">
        <x:v>HG-01576</x:v>
      </x:c>
      <x:c r="B577" s="16" t="str">
        <x:v>Nazmul Begum</x:v>
      </x:c>
      <x:c r="C577" s="16" t="str">
        <x:v>Male</x:v>
      </x:c>
      <x:c r="D577" s="16" t="str">
        <x:v>Production</x:v>
      </x:c>
      <x:c r="E577" s="16" t="str">
        <x:v>Production Operator</x:v>
      </x:c>
      <x:c r="F577" s="16" t="str">
        <x:v>Narayanganj Plant</x:v>
      </x:c>
      <x:c r="G577" s="16" t="str">
        <x:v>Probation</x:v>
      </x:c>
      <x:c r="H577" s="35" t="n">
        <x:v>45783</x:v>
      </x:c>
      <x:c r="I577" s="35"/>
      <x:c r="J577" s="16" t="str"/>
      <x:c r="K577" s="16" t="str">
        <x:f>IF(I577="","Active","Exited")</x:f>
        <x:v>Active</x:v>
      </x:c>
      <x:c r="L577" s="16" t="n">
        <x:f>(YEAR(IF(I577="",TODAY(),I577))-YEAR(H577))*12+MONTH(IF(I577="",TODAY(),I577))-MONTH(H577)</x:f>
        <x:v>14</x:v>
      </x:c>
      <x:c r="M577" s="36" t="n">
        <x:f>DATE(YEAR(H577),MONTH(H577),1)</x:f>
        <x:v>45778</x:v>
      </x:c>
      <x:c r="N577" s="36" t="str">
        <x:f>IF(I577="","",DATE(YEAR(I577),MONTH(I577),1))</x:f>
      </x:c>
    </x:row>
    <x:row r="578">
      <x:c r="A578" s="16" t="str">
        <x:v>HG-01577</x:v>
      </x:c>
      <x:c r="B578" s="16" t="str">
        <x:v>Maliha Ahmed</x:v>
      </x:c>
      <x:c r="C578" s="16" t="str">
        <x:v>Female</x:v>
      </x:c>
      <x:c r="D578" s="16" t="str">
        <x:v>Administration</x:v>
      </x:c>
      <x:c r="E578" s="16" t="str">
        <x:v>Admin Executive</x:v>
      </x:c>
      <x:c r="F578" s="16" t="str">
        <x:v>Dhaka Head Office</x:v>
      </x:c>
      <x:c r="G578" s="16" t="str">
        <x:v>Permanent</x:v>
      </x:c>
      <x:c r="H578" s="35" t="n">
        <x:v>45808</x:v>
      </x:c>
      <x:c r="I578" s="35"/>
      <x:c r="J578" s="16" t="str"/>
      <x:c r="K578" s="16" t="str">
        <x:f>IF(I578="","Active","Exited")</x:f>
        <x:v>Active</x:v>
      </x:c>
      <x:c r="L578" s="16" t="n">
        <x:f>(YEAR(IF(I578="",TODAY(),I578))-YEAR(H578))*12+MONTH(IF(I578="",TODAY(),I578))-MONTH(H578)</x:f>
        <x:v>14</x:v>
      </x:c>
      <x:c r="M578" s="36" t="n">
        <x:f>DATE(YEAR(H578),MONTH(H578),1)</x:f>
        <x:v>45778</x:v>
      </x:c>
      <x:c r="N578" s="36" t="str">
        <x:f>IF(I578="","",DATE(YEAR(I578),MONTH(I578),1))</x:f>
      </x:c>
    </x:row>
    <x:row r="579">
      <x:c r="A579" s="16" t="str">
        <x:v>HG-01578</x:v>
      </x:c>
      <x:c r="B579" s="16" t="str">
        <x:v>Sajid Uddin</x:v>
      </x:c>
      <x:c r="C579" s="16" t="str">
        <x:v>Male</x:v>
      </x:c>
      <x:c r="D579" s="16" t="str">
        <x:v>Quality Assurance</x:v>
      </x:c>
      <x:c r="E579" s="16" t="str">
        <x:v>QA Officer</x:v>
      </x:c>
      <x:c r="F579" s="16" t="str">
        <x:v>Narayanganj Plant</x:v>
      </x:c>
      <x:c r="G579" s="16" t="str">
        <x:v>Permanent</x:v>
      </x:c>
      <x:c r="H579" s="35" t="n">
        <x:v>45792</x:v>
      </x:c>
      <x:c r="I579" s="35"/>
      <x:c r="J579" s="16" t="str"/>
      <x:c r="K579" s="16" t="str">
        <x:f>IF(I579="","Active","Exited")</x:f>
        <x:v>Active</x:v>
      </x:c>
      <x:c r="L579" s="16" t="n">
        <x:f>(YEAR(IF(I579="",TODAY(),I579))-YEAR(H579))*12+MONTH(IF(I579="",TODAY(),I579))-MONTH(H579)</x:f>
        <x:v>14</x:v>
      </x:c>
      <x:c r="M579" s="36" t="n">
        <x:f>DATE(YEAR(H579),MONTH(H579),1)</x:f>
        <x:v>45778</x:v>
      </x:c>
      <x:c r="N579" s="36" t="str">
        <x:f>IF(I579="","",DATE(YEAR(I579),MONTH(I579),1))</x:f>
      </x:c>
    </x:row>
    <x:row r="580">
      <x:c r="A580" s="16" t="str">
        <x:v>HG-01579</x:v>
      </x:c>
      <x:c r="B580" s="16" t="str">
        <x:v>Raisa Ahmed</x:v>
      </x:c>
      <x:c r="C580" s="16" t="str">
        <x:v>Female</x:v>
      </x:c>
      <x:c r="D580" s="16" t="str">
        <x:v>Production</x:v>
      </x:c>
      <x:c r="E580" s="16" t="str">
        <x:v>Production Operator</x:v>
      </x:c>
      <x:c r="F580" s="16" t="str">
        <x:v>Narayanganj Plant</x:v>
      </x:c>
      <x:c r="G580" s="16" t="str">
        <x:v>Permanent</x:v>
      </x:c>
      <x:c r="H580" s="35" t="n">
        <x:v>45816</x:v>
      </x:c>
      <x:c r="I580" s="35"/>
      <x:c r="J580" s="16" t="str"/>
      <x:c r="K580" s="16" t="str">
        <x:f>IF(I580="","Active","Exited")</x:f>
        <x:v>Active</x:v>
      </x:c>
      <x:c r="L580" s="16" t="n">
        <x:f>(YEAR(IF(I580="",TODAY(),I580))-YEAR(H580))*12+MONTH(IF(I580="",TODAY(),I580))-MONTH(H580)</x:f>
        <x:v>13</x:v>
      </x:c>
      <x:c r="M580" s="36" t="n">
        <x:f>DATE(YEAR(H580),MONTH(H580),1)</x:f>
        <x:v>45809</x:v>
      </x:c>
      <x:c r="N580" s="36" t="str">
        <x:f>IF(I580="","",DATE(YEAR(I580),MONTH(I580),1))</x:f>
      </x:c>
    </x:row>
    <x:row r="581">
      <x:c r="A581" s="16" t="str">
        <x:v>HG-01580</x:v>
      </x:c>
      <x:c r="B581" s="16" t="str">
        <x:v>Tanjila Ahmed</x:v>
      </x:c>
      <x:c r="C581" s="16" t="str">
        <x:v>Female</x:v>
      </x:c>
      <x:c r="D581" s="16" t="str">
        <x:v>Quality Assurance</x:v>
      </x:c>
      <x:c r="E581" s="16" t="str">
        <x:v>QA Officer</x:v>
      </x:c>
      <x:c r="F581" s="16" t="str">
        <x:v>Narayanganj Plant</x:v>
      </x:c>
      <x:c r="G581" s="16" t="str">
        <x:v>Contract</x:v>
      </x:c>
      <x:c r="H581" s="35" t="n">
        <x:v>45826</x:v>
      </x:c>
      <x:c r="I581" s="35"/>
      <x:c r="J581" s="16" t="str"/>
      <x:c r="K581" s="16" t="str">
        <x:f>IF(I581="","Active","Exited")</x:f>
        <x:v>Active</x:v>
      </x:c>
      <x:c r="L581" s="16" t="n">
        <x:f>(YEAR(IF(I581="",TODAY(),I581))-YEAR(H581))*12+MONTH(IF(I581="",TODAY(),I581))-MONTH(H581)</x:f>
        <x:v>13</x:v>
      </x:c>
      <x:c r="M581" s="36" t="n">
        <x:f>DATE(YEAR(H581),MONTH(H581),1)</x:f>
        <x:v>45809</x:v>
      </x:c>
      <x:c r="N581" s="36" t="str">
        <x:f>IF(I581="","",DATE(YEAR(I581),MONTH(I581),1))</x:f>
      </x:c>
    </x:row>
    <x:row r="582">
      <x:c r="A582" s="16" t="str">
        <x:v>HG-01581</x:v>
      </x:c>
      <x:c r="B582" s="16" t="str">
        <x:v>Rafi Kabir</x:v>
      </x:c>
      <x:c r="C582" s="16" t="str">
        <x:v>Male</x:v>
      </x:c>
      <x:c r="D582" s="16" t="str">
        <x:v>Production</x:v>
      </x:c>
      <x:c r="E582" s="16" t="str">
        <x:v>Assistant Manager - Production</x:v>
      </x:c>
      <x:c r="F582" s="16" t="str">
        <x:v>Narayanganj Plant</x:v>
      </x:c>
      <x:c r="G582" s="16" t="str">
        <x:v>Permanent</x:v>
      </x:c>
      <x:c r="H582" s="35" t="n">
        <x:v>45815</x:v>
      </x:c>
      <x:c r="I582" s="35"/>
      <x:c r="J582" s="16" t="str"/>
      <x:c r="K582" s="16" t="str">
        <x:f>IF(I582="","Active","Exited")</x:f>
        <x:v>Active</x:v>
      </x:c>
      <x:c r="L582" s="16" t="n">
        <x:f>(YEAR(IF(I582="",TODAY(),I582))-YEAR(H582))*12+MONTH(IF(I582="",TODAY(),I582))-MONTH(H582)</x:f>
        <x:v>13</x:v>
      </x:c>
      <x:c r="M582" s="36" t="n">
        <x:f>DATE(YEAR(H582),MONTH(H582),1)</x:f>
        <x:v>45809</x:v>
      </x:c>
      <x:c r="N582" s="36" t="str">
        <x:f>IF(I582="","",DATE(YEAR(I582),MONTH(I582),1))</x:f>
      </x:c>
    </x:row>
    <x:row r="583">
      <x:c r="A583" s="16" t="str">
        <x:v>HG-01582</x:v>
      </x:c>
      <x:c r="B583" s="16" t="str">
        <x:v>Mahmud Islam</x:v>
      </x:c>
      <x:c r="C583" s="16" t="str">
        <x:v>Male</x:v>
      </x:c>
      <x:c r="D583" s="16" t="str">
        <x:v>Quality Assurance</x:v>
      </x:c>
      <x:c r="E583" s="16" t="str">
        <x:v>Compliance Executive</x:v>
      </x:c>
      <x:c r="F583" s="16" t="str">
        <x:v>Narayanganj Plant</x:v>
      </x:c>
      <x:c r="G583" s="16" t="str">
        <x:v>Contract</x:v>
      </x:c>
      <x:c r="H583" s="35" t="n">
        <x:v>45826</x:v>
      </x:c>
      <x:c r="I583" s="35"/>
      <x:c r="J583" s="16" t="str"/>
      <x:c r="K583" s="16" t="str">
        <x:f>IF(I583="","Active","Exited")</x:f>
        <x:v>Active</x:v>
      </x:c>
      <x:c r="L583" s="16" t="n">
        <x:f>(YEAR(IF(I583="",TODAY(),I583))-YEAR(H583))*12+MONTH(IF(I583="",TODAY(),I583))-MONTH(H583)</x:f>
        <x:v>13</x:v>
      </x:c>
      <x:c r="M583" s="36" t="n">
        <x:f>DATE(YEAR(H583),MONTH(H583),1)</x:f>
        <x:v>45809</x:v>
      </x:c>
      <x:c r="N583" s="36" t="str">
        <x:f>IF(I583="","",DATE(YEAR(I583),MONTH(I583),1))</x:f>
      </x:c>
    </x:row>
    <x:row r="584">
      <x:c r="A584" s="16" t="str">
        <x:v>HG-01583</x:v>
      </x:c>
      <x:c r="B584" s="16" t="str">
        <x:v>Hasan Karim</x:v>
      </x:c>
      <x:c r="C584" s="16" t="str">
        <x:v>Male</x:v>
      </x:c>
      <x:c r="D584" s="16" t="str">
        <x:v>Production</x:v>
      </x:c>
      <x:c r="E584" s="16" t="str">
        <x:v>Line Supervisor</x:v>
      </x:c>
      <x:c r="F584" s="16" t="str">
        <x:v>Narayanganj Plant</x:v>
      </x:c>
      <x:c r="G584" s="16" t="str">
        <x:v>Permanent</x:v>
      </x:c>
      <x:c r="H584" s="35" t="n">
        <x:v>45824</x:v>
      </x:c>
      <x:c r="I584" s="35"/>
      <x:c r="J584" s="16" t="str"/>
      <x:c r="K584" s="16" t="str">
        <x:f>IF(I584="","Active","Exited")</x:f>
        <x:v>Active</x:v>
      </x:c>
      <x:c r="L584" s="16" t="n">
        <x:f>(YEAR(IF(I584="",TODAY(),I584))-YEAR(H584))*12+MONTH(IF(I584="",TODAY(),I584))-MONTH(H584)</x:f>
        <x:v>13</x:v>
      </x:c>
      <x:c r="M584" s="36" t="n">
        <x:f>DATE(YEAR(H584),MONTH(H584),1)</x:f>
        <x:v>45809</x:v>
      </x:c>
      <x:c r="N584" s="36" t="str">
        <x:f>IF(I584="","",DATE(YEAR(I584),MONTH(I584),1))</x:f>
      </x:c>
    </x:row>
    <x:row r="585">
      <x:c r="A585" s="16" t="str">
        <x:v>HG-01584</x:v>
      </x:c>
      <x:c r="B585" s="16" t="str">
        <x:v>Sabbir Alam</x:v>
      </x:c>
      <x:c r="C585" s="16" t="str">
        <x:v>Male</x:v>
      </x:c>
      <x:c r="D585" s="16" t="str">
        <x:v>Production</x:v>
      </x:c>
      <x:c r="E585" s="16" t="str">
        <x:v>Assistant Manager - Production</x:v>
      </x:c>
      <x:c r="F585" s="16" t="str">
        <x:v>Gazipur Plant</x:v>
      </x:c>
      <x:c r="G585" s="16" t="str">
        <x:v>Permanent</x:v>
      </x:c>
      <x:c r="H585" s="35" t="n">
        <x:v>45811</x:v>
      </x:c>
      <x:c r="I585" s="35"/>
      <x:c r="J585" s="16" t="str"/>
      <x:c r="K585" s="16" t="str">
        <x:f>IF(I585="","Active","Exited")</x:f>
        <x:v>Active</x:v>
      </x:c>
      <x:c r="L585" s="16" t="n">
        <x:f>(YEAR(IF(I585="",TODAY(),I585))-YEAR(H585))*12+MONTH(IF(I585="",TODAY(),I585))-MONTH(H585)</x:f>
        <x:v>13</x:v>
      </x:c>
      <x:c r="M585" s="36" t="n">
        <x:f>DATE(YEAR(H585),MONTH(H585),1)</x:f>
        <x:v>45809</x:v>
      </x:c>
      <x:c r="N585" s="36" t="str">
        <x:f>IF(I585="","",DATE(YEAR(I585),MONTH(I585),1))</x:f>
      </x:c>
    </x:row>
    <x:row r="586">
      <x:c r="A586" s="16" t="str">
        <x:v>HG-01585</x:v>
      </x:c>
      <x:c r="B586" s="16" t="str">
        <x:v>Nayeem Khan</x:v>
      </x:c>
      <x:c r="C586" s="16" t="str">
        <x:v>Male</x:v>
      </x:c>
      <x:c r="D586" s="16" t="str">
        <x:v>Finance &amp; Accounts</x:v>
      </x:c>
      <x:c r="E586" s="16" t="str">
        <x:v>Payroll Executive</x:v>
      </x:c>
      <x:c r="F586" s="16" t="str">
        <x:v>Dhaka Head Office</x:v>
      </x:c>
      <x:c r="G586" s="16" t="str">
        <x:v>Permanent</x:v>
      </x:c>
      <x:c r="H586" s="35" t="n">
        <x:v>45814</x:v>
      </x:c>
      <x:c r="I586" s="35"/>
      <x:c r="J586" s="16" t="str"/>
      <x:c r="K586" s="16" t="str">
        <x:f>IF(I586="","Active","Exited")</x:f>
        <x:v>Active</x:v>
      </x:c>
      <x:c r="L586" s="16" t="n">
        <x:f>(YEAR(IF(I586="",TODAY(),I586))-YEAR(H586))*12+MONTH(IF(I586="",TODAY(),I586))-MONTH(H586)</x:f>
        <x:v>13</x:v>
      </x:c>
      <x:c r="M586" s="36" t="n">
        <x:f>DATE(YEAR(H586),MONTH(H586),1)</x:f>
        <x:v>45809</x:v>
      </x:c>
      <x:c r="N586" s="36" t="str">
        <x:f>IF(I586="","",DATE(YEAR(I586),MONTH(I586),1))</x:f>
      </x:c>
    </x:row>
    <x:row r="587">
      <x:c r="A587" s="16" t="str">
        <x:v>HG-01586</x:v>
      </x:c>
      <x:c r="B587" s="16" t="str">
        <x:v>Asif Begum</x:v>
      </x:c>
      <x:c r="C587" s="16" t="str">
        <x:v>Male</x:v>
      </x:c>
      <x:c r="D587" s="16" t="str">
        <x:v>Quality Assurance</x:v>
      </x:c>
      <x:c r="E587" s="16" t="str">
        <x:v>Senior QA Executive</x:v>
      </x:c>
      <x:c r="F587" s="16" t="str">
        <x:v>Narayanganj Plant</x:v>
      </x:c>
      <x:c r="G587" s="16" t="str">
        <x:v>Permanent</x:v>
      </x:c>
      <x:c r="H587" s="35" t="n">
        <x:v>45828</x:v>
      </x:c>
      <x:c r="I587" s="35"/>
      <x:c r="J587" s="16" t="str"/>
      <x:c r="K587" s="16" t="str">
        <x:f>IF(I587="","Active","Exited")</x:f>
        <x:v>Active</x:v>
      </x:c>
      <x:c r="L587" s="16" t="n">
        <x:f>(YEAR(IF(I587="",TODAY(),I587))-YEAR(H587))*12+MONTH(IF(I587="",TODAY(),I587))-MONTH(H587)</x:f>
        <x:v>13</x:v>
      </x:c>
      <x:c r="M587" s="36" t="n">
        <x:f>DATE(YEAR(H587),MONTH(H587),1)</x:f>
        <x:v>45809</x:v>
      </x:c>
      <x:c r="N587" s="36" t="str">
        <x:f>IF(I587="","",DATE(YEAR(I587),MONTH(I587),1))</x:f>
      </x:c>
    </x:row>
    <x:row r="588">
      <x:c r="A588" s="16" t="str">
        <x:v>HG-01587</x:v>
      </x:c>
      <x:c r="B588" s="16" t="str">
        <x:v>Jubayer Akter</x:v>
      </x:c>
      <x:c r="C588" s="16" t="str">
        <x:v>Male</x:v>
      </x:c>
      <x:c r="D588" s="16" t="str">
        <x:v>Production</x:v>
      </x:c>
      <x:c r="E588" s="16" t="str">
        <x:v>Line Supervisor</x:v>
      </x:c>
      <x:c r="F588" s="16" t="str">
        <x:v>Narayanganj Plant</x:v>
      </x:c>
      <x:c r="G588" s="16" t="str">
        <x:v>Permanent</x:v>
      </x:c>
      <x:c r="H588" s="35" t="n">
        <x:v>45825</x:v>
      </x:c>
      <x:c r="I588" s="35"/>
      <x:c r="J588" s="16" t="str"/>
      <x:c r="K588" s="16" t="str">
        <x:f>IF(I588="","Active","Exited")</x:f>
        <x:v>Active</x:v>
      </x:c>
      <x:c r="L588" s="16" t="n">
        <x:f>(YEAR(IF(I588="",TODAY(),I588))-YEAR(H588))*12+MONTH(IF(I588="",TODAY(),I588))-MONTH(H588)</x:f>
        <x:v>13</x:v>
      </x:c>
      <x:c r="M588" s="36" t="n">
        <x:f>DATE(YEAR(H588),MONTH(H588),1)</x:f>
        <x:v>45809</x:v>
      </x:c>
      <x:c r="N588" s="36" t="str">
        <x:f>IF(I588="","",DATE(YEAR(I588),MONTH(I588),1))</x:f>
      </x:c>
    </x:row>
    <x:row r="589">
      <x:c r="A589" s="16" t="str">
        <x:v>HG-01588</x:v>
      </x:c>
      <x:c r="B589" s="16" t="str">
        <x:v>Mim Alam</x:v>
      </x:c>
      <x:c r="C589" s="16" t="str">
        <x:v>Female</x:v>
      </x:c>
      <x:c r="D589" s="16" t="str">
        <x:v>Sales &amp; Marketing</x:v>
      </x:c>
      <x:c r="E589" s="16" t="str">
        <x:v>Assistant Manager - Sales</x:v>
      </x:c>
      <x:c r="F589" s="16" t="str">
        <x:v>Dhaka Head Office</x:v>
      </x:c>
      <x:c r="G589" s="16" t="str">
        <x:v>Permanent</x:v>
      </x:c>
      <x:c r="H589" s="35" t="n">
        <x:v>45837</x:v>
      </x:c>
      <x:c r="I589" s="35"/>
      <x:c r="J589" s="16" t="str"/>
      <x:c r="K589" s="16" t="str">
        <x:f>IF(I589="","Active","Exited")</x:f>
        <x:v>Active</x:v>
      </x:c>
      <x:c r="L589" s="16" t="n">
        <x:f>(YEAR(IF(I589="",TODAY(),I589))-YEAR(H589))*12+MONTH(IF(I589="",TODAY(),I589))-MONTH(H589)</x:f>
        <x:v>13</x:v>
      </x:c>
      <x:c r="M589" s="36" t="n">
        <x:f>DATE(YEAR(H589),MONTH(H589),1)</x:f>
        <x:v>45809</x:v>
      </x:c>
      <x:c r="N589" s="36" t="str">
        <x:f>IF(I589="","",DATE(YEAR(I589),MONTH(I589),1))</x:f>
      </x:c>
    </x:row>
    <x:row r="590">
      <x:c r="A590" s="16" t="str">
        <x:v>HG-01589</x:v>
      </x:c>
      <x:c r="B590" s="16" t="str">
        <x:v>Rafi Kabir</x:v>
      </x:c>
      <x:c r="C590" s="16" t="str">
        <x:v>Male</x:v>
      </x:c>
      <x:c r="D590" s="16" t="str">
        <x:v>Sales &amp; Marketing</x:v>
      </x:c>
      <x:c r="E590" s="16" t="str">
        <x:v>Assistant Manager - Sales</x:v>
      </x:c>
      <x:c r="F590" s="16" t="str">
        <x:v>Dhaka Head Office</x:v>
      </x:c>
      <x:c r="G590" s="16" t="str">
        <x:v>Permanent</x:v>
      </x:c>
      <x:c r="H590" s="35" t="n">
        <x:v>45810</x:v>
      </x:c>
      <x:c r="I590" s="35"/>
      <x:c r="J590" s="16" t="str"/>
      <x:c r="K590" s="16" t="str">
        <x:f>IF(I590="","Active","Exited")</x:f>
        <x:v>Active</x:v>
      </x:c>
      <x:c r="L590" s="16" t="n">
        <x:f>(YEAR(IF(I590="",TODAY(),I590))-YEAR(H590))*12+MONTH(IF(I590="",TODAY(),I590))-MONTH(H590)</x:f>
        <x:v>13</x:v>
      </x:c>
      <x:c r="M590" s="36" t="n">
        <x:f>DATE(YEAR(H590),MONTH(H590),1)</x:f>
        <x:v>45809</x:v>
      </x:c>
      <x:c r="N590" s="36" t="str">
        <x:f>IF(I590="","",DATE(YEAR(I590),MONTH(I590),1))</x:f>
      </x:c>
    </x:row>
    <x:row r="591">
      <x:c r="A591" s="16" t="str">
        <x:v>HG-01590</x:v>
      </x:c>
      <x:c r="B591" s="16" t="str">
        <x:v>Mahmud Karim</x:v>
      </x:c>
      <x:c r="C591" s="16" t="str">
        <x:v>Male</x:v>
      </x:c>
      <x:c r="D591" s="16" t="str">
        <x:v>Administration</x:v>
      </x:c>
      <x:c r="E591" s="16" t="str">
        <x:v>Admin Executive</x:v>
      </x:c>
      <x:c r="F591" s="16" t="str">
        <x:v>Chattogram Office</x:v>
      </x:c>
      <x:c r="G591" s="16" t="str">
        <x:v>Contract</x:v>
      </x:c>
      <x:c r="H591" s="35" t="n">
        <x:v>45809</x:v>
      </x:c>
      <x:c r="I591" s="35"/>
      <x:c r="J591" s="16" t="str"/>
      <x:c r="K591" s="16" t="str">
        <x:f>IF(I591="","Active","Exited")</x:f>
        <x:v>Active</x:v>
      </x:c>
      <x:c r="L591" s="16" t="n">
        <x:f>(YEAR(IF(I591="",TODAY(),I591))-YEAR(H591))*12+MONTH(IF(I591="",TODAY(),I591))-MONTH(H591)</x:f>
        <x:v>13</x:v>
      </x:c>
      <x:c r="M591" s="36" t="n">
        <x:f>DATE(YEAR(H591),MONTH(H591),1)</x:f>
        <x:v>45809</x:v>
      </x:c>
      <x:c r="N591" s="36" t="str">
        <x:f>IF(I591="","",DATE(YEAR(I591),MONTH(I591),1))</x:f>
      </x:c>
    </x:row>
    <x:row r="592">
      <x:c r="A592" s="16" t="str">
        <x:v>HG-01591</x:v>
      </x:c>
      <x:c r="B592" s="16" t="str">
        <x:v>Arif Hasan</x:v>
      </x:c>
      <x:c r="C592" s="16" t="str">
        <x:v>Male</x:v>
      </x:c>
      <x:c r="D592" s="16" t="str">
        <x:v>Production</x:v>
      </x:c>
      <x:c r="E592" s="16" t="str">
        <x:v>Production Operator</x:v>
      </x:c>
      <x:c r="F592" s="16" t="str">
        <x:v>Narayanganj Plant</x:v>
      </x:c>
      <x:c r="G592" s="16" t="str">
        <x:v>Permanent</x:v>
      </x:c>
      <x:c r="H592" s="35" t="n">
        <x:v>45816</x:v>
      </x:c>
      <x:c r="I592" s="35"/>
      <x:c r="J592" s="16" t="str"/>
      <x:c r="K592" s="16" t="str">
        <x:f>IF(I592="","Active","Exited")</x:f>
        <x:v>Active</x:v>
      </x:c>
      <x:c r="L592" s="16" t="n">
        <x:f>(YEAR(IF(I592="",TODAY(),I592))-YEAR(H592))*12+MONTH(IF(I592="",TODAY(),I592))-MONTH(H592)</x:f>
        <x:v>13</x:v>
      </x:c>
      <x:c r="M592" s="36" t="n">
        <x:f>DATE(YEAR(H592),MONTH(H592),1)</x:f>
        <x:v>45809</x:v>
      </x:c>
      <x:c r="N592" s="36" t="str">
        <x:f>IF(I592="","",DATE(YEAR(I592),MONTH(I592),1))</x:f>
      </x:c>
    </x:row>
    <x:row r="593">
      <x:c r="A593" s="16" t="str">
        <x:v>HG-01592</x:v>
      </x:c>
      <x:c r="B593" s="16" t="str">
        <x:v>Sabbir Miah</x:v>
      </x:c>
      <x:c r="C593" s="16" t="str">
        <x:v>Male</x:v>
      </x:c>
      <x:c r="D593" s="16" t="str">
        <x:v>Supply Chain</x:v>
      </x:c>
      <x:c r="E593" s="16" t="str">
        <x:v>Senior Supply Chain Executive</x:v>
      </x:c>
      <x:c r="F593" s="16" t="str">
        <x:v>Narayanganj Plant</x:v>
      </x:c>
      <x:c r="G593" s="16" t="str">
        <x:v>Probation</x:v>
      </x:c>
      <x:c r="H593" s="35" t="n">
        <x:v>45843</x:v>
      </x:c>
      <x:c r="I593" s="35"/>
      <x:c r="J593" s="16" t="str"/>
      <x:c r="K593" s="16" t="str">
        <x:f>IF(I593="","Active","Exited")</x:f>
        <x:v>Active</x:v>
      </x:c>
      <x:c r="L593" s="16" t="n">
        <x:f>(YEAR(IF(I593="",TODAY(),I593))-YEAR(H593))*12+MONTH(IF(I593="",TODAY(),I593))-MONTH(H593)</x:f>
        <x:v>12</x:v>
      </x:c>
      <x:c r="M593" s="36" t="n">
        <x:f>DATE(YEAR(H593),MONTH(H593),1)</x:f>
        <x:v>45839</x:v>
      </x:c>
      <x:c r="N593" s="36" t="str">
        <x:f>IF(I593="","",DATE(YEAR(I593),MONTH(I593),1))</x:f>
      </x:c>
    </x:row>
    <x:row r="594">
      <x:c r="A594" s="16" t="str">
        <x:v>HG-01593</x:v>
      </x:c>
      <x:c r="B594" s="16" t="str">
        <x:v>Nayeem Hossain</x:v>
      </x:c>
      <x:c r="C594" s="16" t="str">
        <x:v>Male</x:v>
      </x:c>
      <x:c r="D594" s="16" t="str">
        <x:v>Production</x:v>
      </x:c>
      <x:c r="E594" s="16" t="str">
        <x:v>Line Supervisor</x:v>
      </x:c>
      <x:c r="F594" s="16" t="str">
        <x:v>Gazipur Plant</x:v>
      </x:c>
      <x:c r="G594" s="16" t="str">
        <x:v>Permanent</x:v>
      </x:c>
      <x:c r="H594" s="35" t="n">
        <x:v>45840</x:v>
      </x:c>
      <x:c r="I594" s="35"/>
      <x:c r="J594" s="16" t="str"/>
      <x:c r="K594" s="16" t="str">
        <x:f>IF(I594="","Active","Exited")</x:f>
        <x:v>Active</x:v>
      </x:c>
      <x:c r="L594" s="16" t="n">
        <x:f>(YEAR(IF(I594="",TODAY(),I594))-YEAR(H594))*12+MONTH(IF(I594="",TODAY(),I594))-MONTH(H594)</x:f>
        <x:v>12</x:v>
      </x:c>
      <x:c r="M594" s="36" t="n">
        <x:f>DATE(YEAR(H594),MONTH(H594),1)</x:f>
        <x:v>45839</x:v>
      </x:c>
      <x:c r="N594" s="36" t="str">
        <x:f>IF(I594="","",DATE(YEAR(I594),MONTH(I594),1))</x:f>
      </x:c>
    </x:row>
    <x:row r="595">
      <x:c r="A595" s="16" t="str">
        <x:v>HG-01594</x:v>
      </x:c>
      <x:c r="B595" s="16" t="str">
        <x:v>Tanvir Alam</x:v>
      </x:c>
      <x:c r="C595" s="16" t="str">
        <x:v>Male</x:v>
      </x:c>
      <x:c r="D595" s="16" t="str">
        <x:v>Production</x:v>
      </x:c>
      <x:c r="E595" s="16" t="str">
        <x:v>Line Supervisor</x:v>
      </x:c>
      <x:c r="F595" s="16" t="str">
        <x:v>Gazipur Plant</x:v>
      </x:c>
      <x:c r="G595" s="16" t="str">
        <x:v>Permanent</x:v>
      </x:c>
      <x:c r="H595" s="35" t="n">
        <x:v>45856</x:v>
      </x:c>
      <x:c r="I595" s="35" t="n">
        <x:v>45976</x:v>
      </x:c>
      <x:c r="J595" s="16" t="str">
        <x:v>Better Opportunity</x:v>
      </x:c>
      <x:c r="K595" s="16" t="str">
        <x:f>IF(I595="","Active","Exited")</x:f>
        <x:v>Exited</x:v>
      </x:c>
      <x:c r="L595" s="16" t="n">
        <x:f>(YEAR(IF(I595="",TODAY(),I595))-YEAR(H595))*12+MONTH(IF(I595="",TODAY(),I595))-MONTH(H595)</x:f>
        <x:v>4</x:v>
      </x:c>
      <x:c r="M595" s="36" t="n">
        <x:f>DATE(YEAR(H595),MONTH(H595),1)</x:f>
        <x:v>45839</x:v>
      </x:c>
      <x:c r="N595" s="36" t="n">
        <x:f>IF(I595="","",DATE(YEAR(I595),MONTH(I595),1))</x:f>
        <x:v>45962</x:v>
      </x:c>
    </x:row>
    <x:row r="596">
      <x:c r="A596" s="16" t="str">
        <x:v>HG-01595</x:v>
      </x:c>
      <x:c r="B596" s="16" t="str">
        <x:v>Sadika Begum</x:v>
      </x:c>
      <x:c r="C596" s="16" t="str">
        <x:v>Female</x:v>
      </x:c>
      <x:c r="D596" s="16" t="str">
        <x:v>Administration</x:v>
      </x:c>
      <x:c r="E596" s="16" t="str">
        <x:v>Senior Admin Executive</x:v>
      </x:c>
      <x:c r="F596" s="16" t="str">
        <x:v>Dhaka Head Office</x:v>
      </x:c>
      <x:c r="G596" s="16" t="str">
        <x:v>Permanent</x:v>
      </x:c>
      <x:c r="H596" s="35" t="n">
        <x:v>45847</x:v>
      </x:c>
      <x:c r="I596" s="35"/>
      <x:c r="J596" s="16" t="str"/>
      <x:c r="K596" s="16" t="str">
        <x:f>IF(I596="","Active","Exited")</x:f>
        <x:v>Active</x:v>
      </x:c>
      <x:c r="L596" s="16" t="n">
        <x:f>(YEAR(IF(I596="",TODAY(),I596))-YEAR(H596))*12+MONTH(IF(I596="",TODAY(),I596))-MONTH(H596)</x:f>
        <x:v>12</x:v>
      </x:c>
      <x:c r="M596" s="36" t="n">
        <x:f>DATE(YEAR(H596),MONTH(H596),1)</x:f>
        <x:v>45839</x:v>
      </x:c>
      <x:c r="N596" s="36" t="str">
        <x:f>IF(I596="","",DATE(YEAR(I596),MONTH(I596),1))</x:f>
      </x:c>
    </x:row>
    <x:row r="597">
      <x:c r="A597" s="16" t="str">
        <x:v>HG-01596</x:v>
      </x:c>
      <x:c r="B597" s="16" t="str">
        <x:v>Hasan Hasan</x:v>
      </x:c>
      <x:c r="C597" s="16" t="str">
        <x:v>Male</x:v>
      </x:c>
      <x:c r="D597" s="16" t="str">
        <x:v>Supply Chain</x:v>
      </x:c>
      <x:c r="E597" s="16" t="str">
        <x:v>Procurement Executive</x:v>
      </x:c>
      <x:c r="F597" s="16" t="str">
        <x:v>Dhaka Head Office</x:v>
      </x:c>
      <x:c r="G597" s="16" t="str">
        <x:v>Permanent</x:v>
      </x:c>
      <x:c r="H597" s="35" t="n">
        <x:v>45867</x:v>
      </x:c>
      <x:c r="I597" s="35"/>
      <x:c r="J597" s="16" t="str"/>
      <x:c r="K597" s="16" t="str">
        <x:f>IF(I597="","Active","Exited")</x:f>
        <x:v>Active</x:v>
      </x:c>
      <x:c r="L597" s="16" t="n">
        <x:f>(YEAR(IF(I597="",TODAY(),I597))-YEAR(H597))*12+MONTH(IF(I597="",TODAY(),I597))-MONTH(H597)</x:f>
        <x:v>12</x:v>
      </x:c>
      <x:c r="M597" s="36" t="n">
        <x:f>DATE(YEAR(H597),MONTH(H597),1)</x:f>
        <x:v>45839</x:v>
      </x:c>
      <x:c r="N597" s="36" t="str">
        <x:f>IF(I597="","",DATE(YEAR(I597),MONTH(I597),1))</x:f>
      </x:c>
    </x:row>
    <x:row r="598">
      <x:c r="A598" s="16" t="str">
        <x:v>HG-01597</x:v>
      </x:c>
      <x:c r="B598" s="16" t="str">
        <x:v>Nayeem Miah</x:v>
      </x:c>
      <x:c r="C598" s="16" t="str">
        <x:v>Male</x:v>
      </x:c>
      <x:c r="D598" s="16" t="str">
        <x:v>Sales &amp; Marketing</x:v>
      </x:c>
      <x:c r="E598" s="16" t="str">
        <x:v>Assistant Manager - Sales</x:v>
      </x:c>
      <x:c r="F598" s="16" t="str">
        <x:v>Dhaka Head Office</x:v>
      </x:c>
      <x:c r="G598" s="16" t="str">
        <x:v>Probation</x:v>
      </x:c>
      <x:c r="H598" s="35" t="n">
        <x:v>45842</x:v>
      </x:c>
      <x:c r="I598" s="35"/>
      <x:c r="J598" s="16" t="str"/>
      <x:c r="K598" s="16" t="str">
        <x:f>IF(I598="","Active","Exited")</x:f>
        <x:v>Active</x:v>
      </x:c>
      <x:c r="L598" s="16" t="n">
        <x:f>(YEAR(IF(I598="",TODAY(),I598))-YEAR(H598))*12+MONTH(IF(I598="",TODAY(),I598))-MONTH(H598)</x:f>
        <x:v>12</x:v>
      </x:c>
      <x:c r="M598" s="36" t="n">
        <x:f>DATE(YEAR(H598),MONTH(H598),1)</x:f>
        <x:v>45839</x:v>
      </x:c>
      <x:c r="N598" s="36" t="str">
        <x:f>IF(I598="","",DATE(YEAR(I598),MONTH(I598),1))</x:f>
      </x:c>
    </x:row>
    <x:row r="599">
      <x:c r="A599" s="16" t="str">
        <x:v>HG-01598</x:v>
      </x:c>
      <x:c r="B599" s="16" t="str">
        <x:v>Nusrat Sarker</x:v>
      </x:c>
      <x:c r="C599" s="16" t="str">
        <x:v>Female</x:v>
      </x:c>
      <x:c r="D599" s="16" t="str">
        <x:v>Production</x:v>
      </x:c>
      <x:c r="E599" s="16" t="str">
        <x:v>Line Supervisor</x:v>
      </x:c>
      <x:c r="F599" s="16" t="str">
        <x:v>Gazipur Plant</x:v>
      </x:c>
      <x:c r="G599" s="16" t="str">
        <x:v>Permanent</x:v>
      </x:c>
      <x:c r="H599" s="35" t="n">
        <x:v>45846</x:v>
      </x:c>
      <x:c r="I599" s="35"/>
      <x:c r="J599" s="16" t="str"/>
      <x:c r="K599" s="16" t="str">
        <x:f>IF(I599="","Active","Exited")</x:f>
        <x:v>Active</x:v>
      </x:c>
      <x:c r="L599" s="16" t="n">
        <x:f>(YEAR(IF(I599="",TODAY(),I599))-YEAR(H599))*12+MONTH(IF(I599="",TODAY(),I599))-MONTH(H599)</x:f>
        <x:v>12</x:v>
      </x:c>
      <x:c r="M599" s="36" t="n">
        <x:f>DATE(YEAR(H599),MONTH(H599),1)</x:f>
        <x:v>45839</x:v>
      </x:c>
      <x:c r="N599" s="36" t="str">
        <x:f>IF(I599="","",DATE(YEAR(I599),MONTH(I599),1))</x:f>
      </x:c>
    </x:row>
    <x:row r="600">
      <x:c r="A600" s="16" t="str">
        <x:v>HG-01599</x:v>
      </x:c>
      <x:c r="B600" s="16" t="str">
        <x:v>Rakib Sarker</x:v>
      </x:c>
      <x:c r="C600" s="16" t="str">
        <x:v>Male</x:v>
      </x:c>
      <x:c r="D600" s="16" t="str">
        <x:v>Human Resources</x:v>
      </x:c>
      <x:c r="E600" s="16" t="str">
        <x:v>Senior HR Executive</x:v>
      </x:c>
      <x:c r="F600" s="16" t="str">
        <x:v>Chattogram Office</x:v>
      </x:c>
      <x:c r="G600" s="16" t="str">
        <x:v>Permanent</x:v>
      </x:c>
      <x:c r="H600" s="35" t="n">
        <x:v>45851</x:v>
      </x:c>
      <x:c r="I600" s="35"/>
      <x:c r="J600" s="16" t="str"/>
      <x:c r="K600" s="16" t="str">
        <x:f>IF(I600="","Active","Exited")</x:f>
        <x:v>Active</x:v>
      </x:c>
      <x:c r="L600" s="16" t="n">
        <x:f>(YEAR(IF(I600="",TODAY(),I600))-YEAR(H600))*12+MONTH(IF(I600="",TODAY(),I600))-MONTH(H600)</x:f>
        <x:v>12</x:v>
      </x:c>
      <x:c r="M600" s="36" t="n">
        <x:f>DATE(YEAR(H600),MONTH(H600),1)</x:f>
        <x:v>45839</x:v>
      </x:c>
      <x:c r="N600" s="36" t="str">
        <x:f>IF(I600="","",DATE(YEAR(I600),MONTH(I600),1))</x:f>
      </x:c>
    </x:row>
    <x:row r="601">
      <x:c r="A601" s="16" t="str">
        <x:v>HG-01600</x:v>
      </x:c>
      <x:c r="B601" s="16" t="str">
        <x:v>Mizan Ahmed</x:v>
      </x:c>
      <x:c r="C601" s="16" t="str">
        <x:v>Male</x:v>
      </x:c>
      <x:c r="D601" s="16" t="str">
        <x:v>Quality Assurance</x:v>
      </x:c>
      <x:c r="E601" s="16" t="str">
        <x:v>Senior QA Executive</x:v>
      </x:c>
      <x:c r="F601" s="16" t="str">
        <x:v>Narayanganj Plant</x:v>
      </x:c>
      <x:c r="G601" s="16" t="str">
        <x:v>Probation</x:v>
      </x:c>
      <x:c r="H601" s="35" t="n">
        <x:v>45847</x:v>
      </x:c>
      <x:c r="I601" s="35"/>
      <x:c r="J601" s="16" t="str"/>
      <x:c r="K601" s="16" t="str">
        <x:f>IF(I601="","Active","Exited")</x:f>
        <x:v>Active</x:v>
      </x:c>
      <x:c r="L601" s="16" t="n">
        <x:f>(YEAR(IF(I601="",TODAY(),I601))-YEAR(H601))*12+MONTH(IF(I601="",TODAY(),I601))-MONTH(H601)</x:f>
        <x:v>12</x:v>
      </x:c>
      <x:c r="M601" s="36" t="n">
        <x:f>DATE(YEAR(H601),MONTH(H601),1)</x:f>
        <x:v>45839</x:v>
      </x:c>
      <x:c r="N601" s="36" t="str">
        <x:f>IF(I601="","",DATE(YEAR(I601),MONTH(I601),1))</x:f>
      </x:c>
    </x:row>
    <x:row r="602">
      <x:c r="A602" s="16" t="str">
        <x:v>HG-01601</x:v>
      </x:c>
      <x:c r="B602" s="16" t="str">
        <x:v>Farzana Uddin</x:v>
      </x:c>
      <x:c r="C602" s="16" t="str">
        <x:v>Female</x:v>
      </x:c>
      <x:c r="D602" s="16" t="str">
        <x:v>Finance &amp; Accounts</x:v>
      </x:c>
      <x:c r="E602" s="16" t="str">
        <x:v>Finance Officer</x:v>
      </x:c>
      <x:c r="F602" s="16" t="str">
        <x:v>Dhaka Head Office</x:v>
      </x:c>
      <x:c r="G602" s="16" t="str">
        <x:v>Permanent</x:v>
      </x:c>
      <x:c r="H602" s="35" t="n">
        <x:v>45866</x:v>
      </x:c>
      <x:c r="I602" s="35"/>
      <x:c r="J602" s="16" t="str"/>
      <x:c r="K602" s="16" t="str">
        <x:f>IF(I602="","Active","Exited")</x:f>
        <x:v>Active</x:v>
      </x:c>
      <x:c r="L602" s="16" t="n">
        <x:f>(YEAR(IF(I602="",TODAY(),I602))-YEAR(H602))*12+MONTH(IF(I602="",TODAY(),I602))-MONTH(H602)</x:f>
        <x:v>12</x:v>
      </x:c>
      <x:c r="M602" s="36" t="n">
        <x:f>DATE(YEAR(H602),MONTH(H602),1)</x:f>
        <x:v>45839</x:v>
      </x:c>
      <x:c r="N602" s="36" t="str">
        <x:f>IF(I602="","",DATE(YEAR(I602),MONTH(I602),1))</x:f>
      </x:c>
    </x:row>
    <x:row r="603">
      <x:c r="A603" s="16" t="str">
        <x:v>HG-01602</x:v>
      </x:c>
      <x:c r="B603" s="16" t="str">
        <x:v>Tanjila Chowdhury</x:v>
      </x:c>
      <x:c r="C603" s="16" t="str">
        <x:v>Female</x:v>
      </x:c>
      <x:c r="D603" s="16" t="str">
        <x:v>Human Resources</x:v>
      </x:c>
      <x:c r="E603" s="16" t="str">
        <x:v>HR Business Executive</x:v>
      </x:c>
      <x:c r="F603" s="16" t="str">
        <x:v>Dhaka Head Office</x:v>
      </x:c>
      <x:c r="G603" s="16" t="str">
        <x:v>Probation</x:v>
      </x:c>
      <x:c r="H603" s="35" t="n">
        <x:v>45858</x:v>
      </x:c>
      <x:c r="I603" s="35"/>
      <x:c r="J603" s="16" t="str"/>
      <x:c r="K603" s="16" t="str">
        <x:f>IF(I603="","Active","Exited")</x:f>
        <x:v>Active</x:v>
      </x:c>
      <x:c r="L603" s="16" t="n">
        <x:f>(YEAR(IF(I603="",TODAY(),I603))-YEAR(H603))*12+MONTH(IF(I603="",TODAY(),I603))-MONTH(H603)</x:f>
        <x:v>12</x:v>
      </x:c>
      <x:c r="M603" s="36" t="n">
        <x:f>DATE(YEAR(H603),MONTH(H603),1)</x:f>
        <x:v>45839</x:v>
      </x:c>
      <x:c r="N603" s="36" t="str">
        <x:f>IF(I603="","",DATE(YEAR(I603),MONTH(I603),1))</x:f>
      </x:c>
    </x:row>
    <x:row r="604">
      <x:c r="A604" s="16" t="str">
        <x:v>HG-01603</x:v>
      </x:c>
      <x:c r="B604" s="16" t="str">
        <x:v>Rashed Hasan</x:v>
      </x:c>
      <x:c r="C604" s="16" t="str">
        <x:v>Male</x:v>
      </x:c>
      <x:c r="D604" s="16" t="str">
        <x:v>Quality Assurance</x:v>
      </x:c>
      <x:c r="E604" s="16" t="str">
        <x:v>Compliance Executive</x:v>
      </x:c>
      <x:c r="F604" s="16" t="str">
        <x:v>Narayanganj Plant</x:v>
      </x:c>
      <x:c r="G604" s="16" t="str">
        <x:v>Permanent</x:v>
      </x:c>
      <x:c r="H604" s="35" t="n">
        <x:v>45872</x:v>
      </x:c>
      <x:c r="I604" s="35"/>
      <x:c r="J604" s="16" t="str"/>
      <x:c r="K604" s="16" t="str">
        <x:f>IF(I604="","Active","Exited")</x:f>
        <x:v>Active</x:v>
      </x:c>
      <x:c r="L604" s="16" t="n">
        <x:f>(YEAR(IF(I604="",TODAY(),I604))-YEAR(H604))*12+MONTH(IF(I604="",TODAY(),I604))-MONTH(H604)</x:f>
        <x:v>11</x:v>
      </x:c>
      <x:c r="M604" s="36" t="n">
        <x:f>DATE(YEAR(H604),MONTH(H604),1)</x:f>
        <x:v>45870</x:v>
      </x:c>
      <x:c r="N604" s="36" t="str">
        <x:f>IF(I604="","",DATE(YEAR(I604),MONTH(I604),1))</x:f>
      </x:c>
    </x:row>
    <x:row r="605">
      <x:c r="A605" s="16" t="str">
        <x:v>HG-01604</x:v>
      </x:c>
      <x:c r="B605" s="16" t="str">
        <x:v>Tanvir Chowdhury</x:v>
      </x:c>
      <x:c r="C605" s="16" t="str">
        <x:v>Male</x:v>
      </x:c>
      <x:c r="D605" s="16" t="str">
        <x:v>Production</x:v>
      </x:c>
      <x:c r="E605" s="16" t="str">
        <x:v>Production Operator</x:v>
      </x:c>
      <x:c r="F605" s="16" t="str">
        <x:v>Narayanganj Plant</x:v>
      </x:c>
      <x:c r="G605" s="16" t="str">
        <x:v>Permanent</x:v>
      </x:c>
      <x:c r="H605" s="35" t="n">
        <x:v>45897</x:v>
      </x:c>
      <x:c r="I605" s="35"/>
      <x:c r="J605" s="16" t="str"/>
      <x:c r="K605" s="16" t="str">
        <x:f>IF(I605="","Active","Exited")</x:f>
        <x:v>Active</x:v>
      </x:c>
      <x:c r="L605" s="16" t="n">
        <x:f>(YEAR(IF(I605="",TODAY(),I605))-YEAR(H605))*12+MONTH(IF(I605="",TODAY(),I605))-MONTH(H605)</x:f>
        <x:v>11</x:v>
      </x:c>
      <x:c r="M605" s="36" t="n">
        <x:f>DATE(YEAR(H605),MONTH(H605),1)</x:f>
        <x:v>45870</x:v>
      </x:c>
      <x:c r="N605" s="36" t="str">
        <x:f>IF(I605="","",DATE(YEAR(I605),MONTH(I605),1))</x:f>
      </x:c>
    </x:row>
    <x:row r="606">
      <x:c r="A606" s="16" t="str">
        <x:v>HG-01605</x:v>
      </x:c>
      <x:c r="B606" s="16" t="str">
        <x:v>Mehedi Sarker</x:v>
      </x:c>
      <x:c r="C606" s="16" t="str">
        <x:v>Male</x:v>
      </x:c>
      <x:c r="D606" s="16" t="str">
        <x:v>Sales &amp; Marketing</x:v>
      </x:c>
      <x:c r="E606" s="16" t="str">
        <x:v>Assistant Manager - Sales</x:v>
      </x:c>
      <x:c r="F606" s="16" t="str">
        <x:v>Dhaka Head Office</x:v>
      </x:c>
      <x:c r="G606" s="16" t="str">
        <x:v>Permanent</x:v>
      </x:c>
      <x:c r="H606" s="35" t="n">
        <x:v>45897</x:v>
      </x:c>
      <x:c r="I606" s="35"/>
      <x:c r="J606" s="16" t="str"/>
      <x:c r="K606" s="16" t="str">
        <x:f>IF(I606="","Active","Exited")</x:f>
        <x:v>Active</x:v>
      </x:c>
      <x:c r="L606" s="16" t="n">
        <x:f>(YEAR(IF(I606="",TODAY(),I606))-YEAR(H606))*12+MONTH(IF(I606="",TODAY(),I606))-MONTH(H606)</x:f>
        <x:v>11</x:v>
      </x:c>
      <x:c r="M606" s="36" t="n">
        <x:f>DATE(YEAR(H606),MONTH(H606),1)</x:f>
        <x:v>45870</x:v>
      </x:c>
      <x:c r="N606" s="36" t="str">
        <x:f>IF(I606="","",DATE(YEAR(I606),MONTH(I606),1))</x:f>
      </x:c>
    </x:row>
    <x:row r="607">
      <x:c r="A607" s="16" t="str">
        <x:v>HG-01606</x:v>
      </x:c>
      <x:c r="B607" s="16" t="str">
        <x:v>Nayeem Islam</x:v>
      </x:c>
      <x:c r="C607" s="16" t="str">
        <x:v>Male</x:v>
      </x:c>
      <x:c r="D607" s="16" t="str">
        <x:v>Information Technology</x:v>
      </x:c>
      <x:c r="E607" s="16" t="str">
        <x:v>Software Executive</x:v>
      </x:c>
      <x:c r="F607" s="16" t="str">
        <x:v>Dhaka Head Office</x:v>
      </x:c>
      <x:c r="G607" s="16" t="str">
        <x:v>Permanent</x:v>
      </x:c>
      <x:c r="H607" s="35" t="n">
        <x:v>45872</x:v>
      </x:c>
      <x:c r="I607" s="35"/>
      <x:c r="J607" s="16" t="str"/>
      <x:c r="K607" s="16" t="str">
        <x:f>IF(I607="","Active","Exited")</x:f>
        <x:v>Active</x:v>
      </x:c>
      <x:c r="L607" s="16" t="n">
        <x:f>(YEAR(IF(I607="",TODAY(),I607))-YEAR(H607))*12+MONTH(IF(I607="",TODAY(),I607))-MONTH(H607)</x:f>
        <x:v>11</x:v>
      </x:c>
      <x:c r="M607" s="36" t="n">
        <x:f>DATE(YEAR(H607),MONTH(H607),1)</x:f>
        <x:v>45870</x:v>
      </x:c>
      <x:c r="N607" s="36" t="str">
        <x:f>IF(I607="","",DATE(YEAR(I607),MONTH(I607),1))</x:f>
      </x:c>
    </x:row>
    <x:row r="608">
      <x:c r="A608" s="16" t="str">
        <x:v>HG-01607</x:v>
      </x:c>
      <x:c r="B608" s="16" t="str">
        <x:v>Imran Akter</x:v>
      </x:c>
      <x:c r="C608" s="16" t="str">
        <x:v>Male</x:v>
      </x:c>
      <x:c r="D608" s="16" t="str">
        <x:v>Sales &amp; Marketing</x:v>
      </x:c>
      <x:c r="E608" s="16" t="str">
        <x:v>Marketing Officer</x:v>
      </x:c>
      <x:c r="F608" s="16" t="str">
        <x:v>Dhaka Head Office</x:v>
      </x:c>
      <x:c r="G608" s="16" t="str">
        <x:v>Contract</x:v>
      </x:c>
      <x:c r="H608" s="35" t="n">
        <x:v>45887</x:v>
      </x:c>
      <x:c r="I608" s="35" t="n">
        <x:v>46008</x:v>
      </x:c>
      <x:c r="J608" s="16" t="str">
        <x:v>Compensation &amp; Benefits</x:v>
      </x:c>
      <x:c r="K608" s="16" t="str">
        <x:f>IF(I608="","Active","Exited")</x:f>
        <x:v>Exited</x:v>
      </x:c>
      <x:c r="L608" s="16" t="n">
        <x:f>(YEAR(IF(I608="",TODAY(),I608))-YEAR(H608))*12+MONTH(IF(I608="",TODAY(),I608))-MONTH(H608)</x:f>
        <x:v>4</x:v>
      </x:c>
      <x:c r="M608" s="36" t="n">
        <x:f>DATE(YEAR(H608),MONTH(H608),1)</x:f>
        <x:v>45870</x:v>
      </x:c>
      <x:c r="N608" s="36" t="n">
        <x:f>IF(I608="","",DATE(YEAR(I608),MONTH(I608),1))</x:f>
        <x:v>45992</x:v>
      </x:c>
    </x:row>
    <x:row r="609">
      <x:c r="A609" s="16" t="str">
        <x:v>HG-01608</x:v>
      </x:c>
      <x:c r="B609" s="16" t="str">
        <x:v>Mehedi Khan</x:v>
      </x:c>
      <x:c r="C609" s="16" t="str">
        <x:v>Male</x:v>
      </x:c>
      <x:c r="D609" s="16" t="str">
        <x:v>Production</x:v>
      </x:c>
      <x:c r="E609" s="16" t="str">
        <x:v>Line Supervisor</x:v>
      </x:c>
      <x:c r="F609" s="16" t="str">
        <x:v>Gazipur Plant</x:v>
      </x:c>
      <x:c r="G609" s="16" t="str">
        <x:v>Permanent</x:v>
      </x:c>
      <x:c r="H609" s="35" t="n">
        <x:v>45884</x:v>
      </x:c>
      <x:c r="I609" s="35"/>
      <x:c r="J609" s="16" t="str"/>
      <x:c r="K609" s="16" t="str">
        <x:f>IF(I609="","Active","Exited")</x:f>
        <x:v>Active</x:v>
      </x:c>
      <x:c r="L609" s="16" t="n">
        <x:f>(YEAR(IF(I609="",TODAY(),I609))-YEAR(H609))*12+MONTH(IF(I609="",TODAY(),I609))-MONTH(H609)</x:f>
        <x:v>11</x:v>
      </x:c>
      <x:c r="M609" s="36" t="n">
        <x:f>DATE(YEAR(H609),MONTH(H609),1)</x:f>
        <x:v>45870</x:v>
      </x:c>
      <x:c r="N609" s="36" t="str">
        <x:f>IF(I609="","",DATE(YEAR(I609),MONTH(I609),1))</x:f>
      </x:c>
    </x:row>
    <x:row r="610">
      <x:c r="A610" s="16" t="str">
        <x:v>HG-01609</x:v>
      </x:c>
      <x:c r="B610" s="16" t="str">
        <x:v>Tanvir Miah</x:v>
      </x:c>
      <x:c r="C610" s="16" t="str">
        <x:v>Male</x:v>
      </x:c>
      <x:c r="D610" s="16" t="str">
        <x:v>Production</x:v>
      </x:c>
      <x:c r="E610" s="16" t="str">
        <x:v>Senior Operator</x:v>
      </x:c>
      <x:c r="F610" s="16" t="str">
        <x:v>Narayanganj Plant</x:v>
      </x:c>
      <x:c r="G610" s="16" t="str">
        <x:v>Permanent</x:v>
      </x:c>
      <x:c r="H610" s="35" t="n">
        <x:v>45885</x:v>
      </x:c>
      <x:c r="I610" s="35"/>
      <x:c r="J610" s="16" t="str"/>
      <x:c r="K610" s="16" t="str">
        <x:f>IF(I610="","Active","Exited")</x:f>
        <x:v>Active</x:v>
      </x:c>
      <x:c r="L610" s="16" t="n">
        <x:f>(YEAR(IF(I610="",TODAY(),I610))-YEAR(H610))*12+MONTH(IF(I610="",TODAY(),I610))-MONTH(H610)</x:f>
        <x:v>11</x:v>
      </x:c>
      <x:c r="M610" s="36" t="n">
        <x:f>DATE(YEAR(H610),MONTH(H610),1)</x:f>
        <x:v>45870</x:v>
      </x:c>
      <x:c r="N610" s="36" t="str">
        <x:f>IF(I610="","",DATE(YEAR(I610),MONTH(I610),1))</x:f>
      </x:c>
    </x:row>
    <x:row r="611">
      <x:c r="A611" s="16" t="str">
        <x:v>HG-01610</x:v>
      </x:c>
      <x:c r="B611" s="16" t="str">
        <x:v>Mizan Rahman</x:v>
      </x:c>
      <x:c r="C611" s="16" t="str">
        <x:v>Male</x:v>
      </x:c>
      <x:c r="D611" s="16" t="str">
        <x:v>Quality Assurance</x:v>
      </x:c>
      <x:c r="E611" s="16" t="str">
        <x:v>QA Officer</x:v>
      </x:c>
      <x:c r="F611" s="16" t="str">
        <x:v>Gazipur Plant</x:v>
      </x:c>
      <x:c r="G611" s="16" t="str">
        <x:v>Probation</x:v>
      </x:c>
      <x:c r="H611" s="35" t="n">
        <x:v>45878</x:v>
      </x:c>
      <x:c r="I611" s="35"/>
      <x:c r="J611" s="16" t="str"/>
      <x:c r="K611" s="16" t="str">
        <x:f>IF(I611="","Active","Exited")</x:f>
        <x:v>Active</x:v>
      </x:c>
      <x:c r="L611" s="16" t="n">
        <x:f>(YEAR(IF(I611="",TODAY(),I611))-YEAR(H611))*12+MONTH(IF(I611="",TODAY(),I611))-MONTH(H611)</x:f>
        <x:v>11</x:v>
      </x:c>
      <x:c r="M611" s="36" t="n">
        <x:f>DATE(YEAR(H611),MONTH(H611),1)</x:f>
        <x:v>45870</x:v>
      </x:c>
      <x:c r="N611" s="36" t="str">
        <x:f>IF(I611="","",DATE(YEAR(I611),MONTH(I611),1))</x:f>
      </x:c>
    </x:row>
    <x:row r="612">
      <x:c r="A612" s="16" t="str">
        <x:v>HG-01611</x:v>
      </x:c>
      <x:c r="B612" s="16" t="str">
        <x:v>Mahmud Ahmed</x:v>
      </x:c>
      <x:c r="C612" s="16" t="str">
        <x:v>Male</x:v>
      </x:c>
      <x:c r="D612" s="16" t="str">
        <x:v>Finance &amp; Accounts</x:v>
      </x:c>
      <x:c r="E612" s="16" t="str">
        <x:v>Finance Officer</x:v>
      </x:c>
      <x:c r="F612" s="16" t="str">
        <x:v>Chattogram Office</x:v>
      </x:c>
      <x:c r="G612" s="16" t="str">
        <x:v>Contract</x:v>
      </x:c>
      <x:c r="H612" s="35" t="n">
        <x:v>45892</x:v>
      </x:c>
      <x:c r="I612" s="35"/>
      <x:c r="J612" s="16" t="str"/>
      <x:c r="K612" s="16" t="str">
        <x:f>IF(I612="","Active","Exited")</x:f>
        <x:v>Active</x:v>
      </x:c>
      <x:c r="L612" s="16" t="n">
        <x:f>(YEAR(IF(I612="",TODAY(),I612))-YEAR(H612))*12+MONTH(IF(I612="",TODAY(),I612))-MONTH(H612)</x:f>
        <x:v>11</x:v>
      </x:c>
      <x:c r="M612" s="36" t="n">
        <x:f>DATE(YEAR(H612),MONTH(H612),1)</x:f>
        <x:v>45870</x:v>
      </x:c>
      <x:c r="N612" s="36" t="str">
        <x:f>IF(I612="","",DATE(YEAR(I612),MONTH(I612),1))</x:f>
      </x:c>
    </x:row>
    <x:row r="613">
      <x:c r="A613" s="16" t="str">
        <x:v>HG-01612</x:v>
      </x:c>
      <x:c r="B613" s="16" t="str">
        <x:v>Tanvir Miah</x:v>
      </x:c>
      <x:c r="C613" s="16" t="str">
        <x:v>Male</x:v>
      </x:c>
      <x:c r="D613" s="16" t="str">
        <x:v>Production</x:v>
      </x:c>
      <x:c r="E613" s="16" t="str">
        <x:v>Assistant Manager - Production</x:v>
      </x:c>
      <x:c r="F613" s="16" t="str">
        <x:v>Narayanganj Plant</x:v>
      </x:c>
      <x:c r="G613" s="16" t="str">
        <x:v>Permanent</x:v>
      </x:c>
      <x:c r="H613" s="35" t="n">
        <x:v>45881</x:v>
      </x:c>
      <x:c r="I613" s="35"/>
      <x:c r="J613" s="16" t="str"/>
      <x:c r="K613" s="16" t="str">
        <x:f>IF(I613="","Active","Exited")</x:f>
        <x:v>Active</x:v>
      </x:c>
      <x:c r="L613" s="16" t="n">
        <x:f>(YEAR(IF(I613="",TODAY(),I613))-YEAR(H613))*12+MONTH(IF(I613="",TODAY(),I613))-MONTH(H613)</x:f>
        <x:v>11</x:v>
      </x:c>
      <x:c r="M613" s="36" t="n">
        <x:f>DATE(YEAR(H613),MONTH(H613),1)</x:f>
        <x:v>45870</x:v>
      </x:c>
      <x:c r="N613" s="36" t="str">
        <x:f>IF(I613="","",DATE(YEAR(I613),MONTH(I613),1))</x:f>
      </x:c>
    </x:row>
    <x:row r="614">
      <x:c r="A614" s="16" t="str">
        <x:v>HG-01613</x:v>
      </x:c>
      <x:c r="B614" s="16" t="str">
        <x:v>Rumana Khan</x:v>
      </x:c>
      <x:c r="C614" s="16" t="str">
        <x:v>Female</x:v>
      </x:c>
      <x:c r="D614" s="16" t="str">
        <x:v>Finance &amp; Accounts</x:v>
      </x:c>
      <x:c r="E614" s="16" t="str">
        <x:v>Payroll Executive</x:v>
      </x:c>
      <x:c r="F614" s="16" t="str">
        <x:v>Dhaka Head Office</x:v>
      </x:c>
      <x:c r="G614" s="16" t="str">
        <x:v>Permanent</x:v>
      </x:c>
      <x:c r="H614" s="35" t="n">
        <x:v>45897</x:v>
      </x:c>
      <x:c r="I614" s="35"/>
      <x:c r="J614" s="16" t="str"/>
      <x:c r="K614" s="16" t="str">
        <x:f>IF(I614="","Active","Exited")</x:f>
        <x:v>Active</x:v>
      </x:c>
      <x:c r="L614" s="16" t="n">
        <x:f>(YEAR(IF(I614="",TODAY(),I614))-YEAR(H614))*12+MONTH(IF(I614="",TODAY(),I614))-MONTH(H614)</x:f>
        <x:v>11</x:v>
      </x:c>
      <x:c r="M614" s="36" t="n">
        <x:f>DATE(YEAR(H614),MONTH(H614),1)</x:f>
        <x:v>45870</x:v>
      </x:c>
      <x:c r="N614" s="36" t="str">
        <x:f>IF(I614="","",DATE(YEAR(I614),MONTH(I614),1))</x:f>
      </x:c>
    </x:row>
    <x:row r="615">
      <x:c r="A615" s="16" t="str">
        <x:v>HG-01614</x:v>
      </x:c>
      <x:c r="B615" s="16" t="str">
        <x:v>Sajid Kabir</x:v>
      </x:c>
      <x:c r="C615" s="16" t="str">
        <x:v>Male</x:v>
      </x:c>
      <x:c r="D615" s="16" t="str">
        <x:v>Supply Chain</x:v>
      </x:c>
      <x:c r="E615" s="16" t="str">
        <x:v>Procurement Executive</x:v>
      </x:c>
      <x:c r="F615" s="16" t="str">
        <x:v>Gazipur Plant</x:v>
      </x:c>
      <x:c r="G615" s="16" t="str">
        <x:v>Probation</x:v>
      </x:c>
      <x:c r="H615" s="35" t="n">
        <x:v>45876</x:v>
      </x:c>
      <x:c r="I615" s="35"/>
      <x:c r="J615" s="16" t="str"/>
      <x:c r="K615" s="16" t="str">
        <x:f>IF(I615="","Active","Exited")</x:f>
        <x:v>Active</x:v>
      </x:c>
      <x:c r="L615" s="16" t="n">
        <x:f>(YEAR(IF(I615="",TODAY(),I615))-YEAR(H615))*12+MONTH(IF(I615="",TODAY(),I615))-MONTH(H615)</x:f>
        <x:v>11</x:v>
      </x:c>
      <x:c r="M615" s="36" t="n">
        <x:f>DATE(YEAR(H615),MONTH(H615),1)</x:f>
        <x:v>45870</x:v>
      </x:c>
      <x:c r="N615" s="36" t="str">
        <x:f>IF(I615="","",DATE(YEAR(I615),MONTH(I615),1))</x:f>
      </x:c>
    </x:row>
    <x:row r="616">
      <x:c r="A616" s="16" t="str">
        <x:v>HG-01615</x:v>
      </x:c>
      <x:c r="B616" s="16" t="str">
        <x:v>Farhan Rahman</x:v>
      </x:c>
      <x:c r="C616" s="16" t="str">
        <x:v>Male</x:v>
      </x:c>
      <x:c r="D616" s="16" t="str">
        <x:v>Supply Chain</x:v>
      </x:c>
      <x:c r="E616" s="16" t="str">
        <x:v>Logistics Executive</x:v>
      </x:c>
      <x:c r="F616" s="16" t="str">
        <x:v>Gazipur Plant</x:v>
      </x:c>
      <x:c r="G616" s="16" t="str">
        <x:v>Probation</x:v>
      </x:c>
      <x:c r="H616" s="35" t="n">
        <x:v>45893</x:v>
      </x:c>
      <x:c r="I616" s="35"/>
      <x:c r="J616" s="16" t="str"/>
      <x:c r="K616" s="16" t="str">
        <x:f>IF(I616="","Active","Exited")</x:f>
        <x:v>Active</x:v>
      </x:c>
      <x:c r="L616" s="16" t="n">
        <x:f>(YEAR(IF(I616="",TODAY(),I616))-YEAR(H616))*12+MONTH(IF(I616="",TODAY(),I616))-MONTH(H616)</x:f>
        <x:v>11</x:v>
      </x:c>
      <x:c r="M616" s="36" t="n">
        <x:f>DATE(YEAR(H616),MONTH(H616),1)</x:f>
        <x:v>45870</x:v>
      </x:c>
      <x:c r="N616" s="36" t="str">
        <x:f>IF(I616="","",DATE(YEAR(I616),MONTH(I616),1))</x:f>
      </x:c>
    </x:row>
    <x:row r="617">
      <x:c r="A617" s="16" t="str">
        <x:v>HG-01616</x:v>
      </x:c>
      <x:c r="B617" s="16" t="str">
        <x:v>Sabbir Karim</x:v>
      </x:c>
      <x:c r="C617" s="16" t="str">
        <x:v>Male</x:v>
      </x:c>
      <x:c r="D617" s="16" t="str">
        <x:v>Supply Chain</x:v>
      </x:c>
      <x:c r="E617" s="16" t="str">
        <x:v>Procurement Executive</x:v>
      </x:c>
      <x:c r="F617" s="16" t="str">
        <x:v>Gazipur Plant</x:v>
      </x:c>
      <x:c r="G617" s="16" t="str">
        <x:v>Permanent</x:v>
      </x:c>
      <x:c r="H617" s="35" t="n">
        <x:v>45889</x:v>
      </x:c>
      <x:c r="I617" s="35"/>
      <x:c r="J617" s="16" t="str"/>
      <x:c r="K617" s="16" t="str">
        <x:f>IF(I617="","Active","Exited")</x:f>
        <x:v>Active</x:v>
      </x:c>
      <x:c r="L617" s="16" t="n">
        <x:f>(YEAR(IF(I617="",TODAY(),I617))-YEAR(H617))*12+MONTH(IF(I617="",TODAY(),I617))-MONTH(H617)</x:f>
        <x:v>11</x:v>
      </x:c>
      <x:c r="M617" s="36" t="n">
        <x:f>DATE(YEAR(H617),MONTH(H617),1)</x:f>
        <x:v>45870</x:v>
      </x:c>
      <x:c r="N617" s="36" t="str">
        <x:f>IF(I617="","",DATE(YEAR(I617),MONTH(I617),1))</x:f>
      </x:c>
    </x:row>
    <x:row r="618">
      <x:c r="A618" s="16" t="str">
        <x:v>HG-01617</x:v>
      </x:c>
      <x:c r="B618" s="16" t="str">
        <x:v>Hasan Akter</x:v>
      </x:c>
      <x:c r="C618" s="16" t="str">
        <x:v>Male</x:v>
      </x:c>
      <x:c r="D618" s="16" t="str">
        <x:v>Human Resources</x:v>
      </x:c>
      <x:c r="E618" s="16" t="str">
        <x:v>Assistant Manager - HR</x:v>
      </x:c>
      <x:c r="F618" s="16" t="str">
        <x:v>Dhaka Head Office</x:v>
      </x:c>
      <x:c r="G618" s="16" t="str">
        <x:v>Permanent</x:v>
      </x:c>
      <x:c r="H618" s="35" t="n">
        <x:v>45883</x:v>
      </x:c>
      <x:c r="I618" s="35"/>
      <x:c r="J618" s="16" t="str"/>
      <x:c r="K618" s="16" t="str">
        <x:f>IF(I618="","Active","Exited")</x:f>
        <x:v>Active</x:v>
      </x:c>
      <x:c r="L618" s="16" t="n">
        <x:f>(YEAR(IF(I618="",TODAY(),I618))-YEAR(H618))*12+MONTH(IF(I618="",TODAY(),I618))-MONTH(H618)</x:f>
        <x:v>11</x:v>
      </x:c>
      <x:c r="M618" s="36" t="n">
        <x:f>DATE(YEAR(H618),MONTH(H618),1)</x:f>
        <x:v>45870</x:v>
      </x:c>
      <x:c r="N618" s="36" t="str">
        <x:f>IF(I618="","",DATE(YEAR(I618),MONTH(I618),1))</x:f>
      </x:c>
    </x:row>
    <x:row r="619">
      <x:c r="A619" s="16" t="str">
        <x:v>HG-01618</x:v>
      </x:c>
      <x:c r="B619" s="16" t="str">
        <x:v>Rashed Khan</x:v>
      </x:c>
      <x:c r="C619" s="16" t="str">
        <x:v>Male</x:v>
      </x:c>
      <x:c r="D619" s="16" t="str">
        <x:v>Production</x:v>
      </x:c>
      <x:c r="E619" s="16" t="str">
        <x:v>Production Officer</x:v>
      </x:c>
      <x:c r="F619" s="16" t="str">
        <x:v>Gazipur Plant</x:v>
      </x:c>
      <x:c r="G619" s="16" t="str">
        <x:v>Permanent</x:v>
      </x:c>
      <x:c r="H619" s="35" t="n">
        <x:v>45892</x:v>
      </x:c>
      <x:c r="I619" s="35"/>
      <x:c r="J619" s="16" t="str"/>
      <x:c r="K619" s="16" t="str">
        <x:f>IF(I619="","Active","Exited")</x:f>
        <x:v>Active</x:v>
      </x:c>
      <x:c r="L619" s="16" t="n">
        <x:f>(YEAR(IF(I619="",TODAY(),I619))-YEAR(H619))*12+MONTH(IF(I619="",TODAY(),I619))-MONTH(H619)</x:f>
        <x:v>11</x:v>
      </x:c>
      <x:c r="M619" s="36" t="n">
        <x:f>DATE(YEAR(H619),MONTH(H619),1)</x:f>
        <x:v>45870</x:v>
      </x:c>
      <x:c r="N619" s="36" t="str">
        <x:f>IF(I619="","",DATE(YEAR(I619),MONTH(I619),1))</x:f>
      </x:c>
    </x:row>
    <x:row r="620">
      <x:c r="A620" s="16" t="str">
        <x:v>HG-01619</x:v>
      </x:c>
      <x:c r="B620" s="16" t="str">
        <x:v>Tanvir Hossain</x:v>
      </x:c>
      <x:c r="C620" s="16" t="str">
        <x:v>Male</x:v>
      </x:c>
      <x:c r="D620" s="16" t="str">
        <x:v>Production</x:v>
      </x:c>
      <x:c r="E620" s="16" t="str">
        <x:v>Production Officer</x:v>
      </x:c>
      <x:c r="F620" s="16" t="str">
        <x:v>Narayanganj Plant</x:v>
      </x:c>
      <x:c r="G620" s="16" t="str">
        <x:v>Permanent</x:v>
      </x:c>
      <x:c r="H620" s="35" t="n">
        <x:v>45881</x:v>
      </x:c>
      <x:c r="I620" s="35"/>
      <x:c r="J620" s="16" t="str"/>
      <x:c r="K620" s="16" t="str">
        <x:f>IF(I620="","Active","Exited")</x:f>
        <x:v>Active</x:v>
      </x:c>
      <x:c r="L620" s="16" t="n">
        <x:f>(YEAR(IF(I620="",TODAY(),I620))-YEAR(H620))*12+MONTH(IF(I620="",TODAY(),I620))-MONTH(H620)</x:f>
        <x:v>11</x:v>
      </x:c>
      <x:c r="M620" s="36" t="n">
        <x:f>DATE(YEAR(H620),MONTH(H620),1)</x:f>
        <x:v>45870</x:v>
      </x:c>
      <x:c r="N620" s="36" t="str">
        <x:f>IF(I620="","",DATE(YEAR(I620),MONTH(I620),1))</x:f>
      </x:c>
    </x:row>
    <x:row r="621">
      <x:c r="A621" s="16" t="str">
        <x:v>HG-01620</x:v>
      </x:c>
      <x:c r="B621" s="16" t="str">
        <x:v>Fahim Begum</x:v>
      </x:c>
      <x:c r="C621" s="16" t="str">
        <x:v>Male</x:v>
      </x:c>
      <x:c r="D621" s="16" t="str">
        <x:v>Administration</x:v>
      </x:c>
      <x:c r="E621" s="16" t="str">
        <x:v>Admin Executive</x:v>
      </x:c>
      <x:c r="F621" s="16" t="str">
        <x:v>Dhaka Head Office</x:v>
      </x:c>
      <x:c r="G621" s="16" t="str">
        <x:v>Contract</x:v>
      </x:c>
      <x:c r="H621" s="35" t="n">
        <x:v>45874</x:v>
      </x:c>
      <x:c r="I621" s="35"/>
      <x:c r="J621" s="16" t="str"/>
      <x:c r="K621" s="16" t="str">
        <x:f>IF(I621="","Active","Exited")</x:f>
        <x:v>Active</x:v>
      </x:c>
      <x:c r="L621" s="16" t="n">
        <x:f>(YEAR(IF(I621="",TODAY(),I621))-YEAR(H621))*12+MONTH(IF(I621="",TODAY(),I621))-MONTH(H621)</x:f>
        <x:v>11</x:v>
      </x:c>
      <x:c r="M621" s="36" t="n">
        <x:f>DATE(YEAR(H621),MONTH(H621),1)</x:f>
        <x:v>45870</x:v>
      </x:c>
      <x:c r="N621" s="36" t="str">
        <x:f>IF(I621="","",DATE(YEAR(I621),MONTH(I621),1))</x:f>
      </x:c>
    </x:row>
    <x:row r="622">
      <x:c r="A622" s="16" t="str">
        <x:v>HG-01621</x:v>
      </x:c>
      <x:c r="B622" s="16" t="str">
        <x:v>Tanvir Miah</x:v>
      </x:c>
      <x:c r="C622" s="16" t="str">
        <x:v>Male</x:v>
      </x:c>
      <x:c r="D622" s="16" t="str">
        <x:v>Quality Assurance</x:v>
      </x:c>
      <x:c r="E622" s="16" t="str">
        <x:v>Senior QA Executive</x:v>
      </x:c>
      <x:c r="F622" s="16" t="str">
        <x:v>Narayanganj Plant</x:v>
      </x:c>
      <x:c r="G622" s="16" t="str">
        <x:v>Contract</x:v>
      </x:c>
      <x:c r="H622" s="35" t="n">
        <x:v>45899</x:v>
      </x:c>
      <x:c r="I622" s="35"/>
      <x:c r="J622" s="16" t="str"/>
      <x:c r="K622" s="16" t="str">
        <x:f>IF(I622="","Active","Exited")</x:f>
        <x:v>Active</x:v>
      </x:c>
      <x:c r="L622" s="16" t="n">
        <x:f>(YEAR(IF(I622="",TODAY(),I622))-YEAR(H622))*12+MONTH(IF(I622="",TODAY(),I622))-MONTH(H622)</x:f>
        <x:v>11</x:v>
      </x:c>
      <x:c r="M622" s="36" t="n">
        <x:f>DATE(YEAR(H622),MONTH(H622),1)</x:f>
        <x:v>45870</x:v>
      </x:c>
      <x:c r="N622" s="36" t="str">
        <x:f>IF(I622="","",DATE(YEAR(I622),MONTH(I622),1))</x:f>
      </x:c>
    </x:row>
    <x:row r="623">
      <x:c r="A623" s="16" t="str">
        <x:v>HG-01622</x:v>
      </x:c>
      <x:c r="B623" s="16" t="str">
        <x:v>Foysal Rahman</x:v>
      </x:c>
      <x:c r="C623" s="16" t="str">
        <x:v>Male</x:v>
      </x:c>
      <x:c r="D623" s="16" t="str">
        <x:v>Administration</x:v>
      </x:c>
      <x:c r="E623" s="16" t="str">
        <x:v>Assistant Manager - Admin</x:v>
      </x:c>
      <x:c r="F623" s="16" t="str">
        <x:v>Narayanganj Plant</x:v>
      </x:c>
      <x:c r="G623" s="16" t="str">
        <x:v>Probation</x:v>
      </x:c>
      <x:c r="H623" s="35" t="n">
        <x:v>45870</x:v>
      </x:c>
      <x:c r="I623" s="35" t="n">
        <x:v>45926</x:v>
      </x:c>
      <x:c r="J623" s="16" t="str">
        <x:v>Supervisor / Management</x:v>
      </x:c>
      <x:c r="K623" s="16" t="str">
        <x:f>IF(I623="","Active","Exited")</x:f>
        <x:v>Exited</x:v>
      </x:c>
      <x:c r="L623" s="16" t="n">
        <x:f>(YEAR(IF(I623="",TODAY(),I623))-YEAR(H623))*12+MONTH(IF(I623="",TODAY(),I623))-MONTH(H623)</x:f>
        <x:v>1</x:v>
      </x:c>
      <x:c r="M623" s="36" t="n">
        <x:f>DATE(YEAR(H623),MONTH(H623),1)</x:f>
        <x:v>45870</x:v>
      </x:c>
      <x:c r="N623" s="36" t="n">
        <x:f>IF(I623="","",DATE(YEAR(I623),MONTH(I623),1))</x:f>
        <x:v>45901</x:v>
      </x:c>
    </x:row>
    <x:row r="624">
      <x:c r="A624" s="16" t="str">
        <x:v>HG-01623</x:v>
      </x:c>
      <x:c r="B624" s="16" t="str">
        <x:v>Nayeem Karim</x:v>
      </x:c>
      <x:c r="C624" s="16" t="str">
        <x:v>Male</x:v>
      </x:c>
      <x:c r="D624" s="16" t="str">
        <x:v>Production</x:v>
      </x:c>
      <x:c r="E624" s="16" t="str">
        <x:v>Senior Operator</x:v>
      </x:c>
      <x:c r="F624" s="16" t="str">
        <x:v>Gazipur Plant</x:v>
      </x:c>
      <x:c r="G624" s="16" t="str">
        <x:v>Permanent</x:v>
      </x:c>
      <x:c r="H624" s="35" t="n">
        <x:v>45924</x:v>
      </x:c>
      <x:c r="I624" s="35" t="n">
        <x:v>46199</x:v>
      </x:c>
      <x:c r="J624" s="16" t="str">
        <x:v>Performance</x:v>
      </x:c>
      <x:c r="K624" s="16" t="str">
        <x:f>IF(I624="","Active","Exited")</x:f>
        <x:v>Exited</x:v>
      </x:c>
      <x:c r="L624" s="16" t="n">
        <x:f>(YEAR(IF(I624="",TODAY(),I624))-YEAR(H624))*12+MONTH(IF(I624="",TODAY(),I624))-MONTH(H624)</x:f>
        <x:v>9</x:v>
      </x:c>
      <x:c r="M624" s="36" t="n">
        <x:f>DATE(YEAR(H624),MONTH(H624),1)</x:f>
        <x:v>45901</x:v>
      </x:c>
      <x:c r="N624" s="36" t="n">
        <x:f>IF(I624="","",DATE(YEAR(I624),MONTH(I624),1))</x:f>
        <x:v>46174</x:v>
      </x:c>
    </x:row>
    <x:row r="625">
      <x:c r="A625" s="16" t="str">
        <x:v>HG-01624</x:v>
      </x:c>
      <x:c r="B625" s="16" t="str">
        <x:v>Tasnim Hasan</x:v>
      </x:c>
      <x:c r="C625" s="16" t="str">
        <x:v>Female</x:v>
      </x:c>
      <x:c r="D625" s="16" t="str">
        <x:v>Quality Assurance</x:v>
      </x:c>
      <x:c r="E625" s="16" t="str">
        <x:v>Assistant Manager - QA</x:v>
      </x:c>
      <x:c r="F625" s="16" t="str">
        <x:v>Narayanganj Plant</x:v>
      </x:c>
      <x:c r="G625" s="16" t="str">
        <x:v>Permanent</x:v>
      </x:c>
      <x:c r="H625" s="35" t="n">
        <x:v>45922</x:v>
      </x:c>
      <x:c r="I625" s="35"/>
      <x:c r="J625" s="16" t="str"/>
      <x:c r="K625" s="16" t="str">
        <x:f>IF(I625="","Active","Exited")</x:f>
        <x:v>Active</x:v>
      </x:c>
      <x:c r="L625" s="16" t="n">
        <x:f>(YEAR(IF(I625="",TODAY(),I625))-YEAR(H625))*12+MONTH(IF(I625="",TODAY(),I625))-MONTH(H625)</x:f>
        <x:v>10</x:v>
      </x:c>
      <x:c r="M625" s="36" t="n">
        <x:f>DATE(YEAR(H625),MONTH(H625),1)</x:f>
        <x:v>45901</x:v>
      </x:c>
      <x:c r="N625" s="36" t="str">
        <x:f>IF(I625="","",DATE(YEAR(I625),MONTH(I625),1))</x:f>
      </x:c>
    </x:row>
    <x:row r="626">
      <x:c r="A626" s="16" t="str">
        <x:v>HG-01625</x:v>
      </x:c>
      <x:c r="B626" s="16" t="str">
        <x:v>Shakil Uddin</x:v>
      </x:c>
      <x:c r="C626" s="16" t="str">
        <x:v>Male</x:v>
      </x:c>
      <x:c r="D626" s="16" t="str">
        <x:v>Administration</x:v>
      </x:c>
      <x:c r="E626" s="16" t="str">
        <x:v>Admin Assistant</x:v>
      </x:c>
      <x:c r="F626" s="16" t="str">
        <x:v>Dhaka Head Office</x:v>
      </x:c>
      <x:c r="G626" s="16" t="str">
        <x:v>Permanent</x:v>
      </x:c>
      <x:c r="H626" s="35" t="n">
        <x:v>45930</x:v>
      </x:c>
      <x:c r="I626" s="35"/>
      <x:c r="J626" s="16" t="str"/>
      <x:c r="K626" s="16" t="str">
        <x:f>IF(I626="","Active","Exited")</x:f>
        <x:v>Active</x:v>
      </x:c>
      <x:c r="L626" s="16" t="n">
        <x:f>(YEAR(IF(I626="",TODAY(),I626))-YEAR(H626))*12+MONTH(IF(I626="",TODAY(),I626))-MONTH(H626)</x:f>
        <x:v>10</x:v>
      </x:c>
      <x:c r="M626" s="36" t="n">
        <x:f>DATE(YEAR(H626),MONTH(H626),1)</x:f>
        <x:v>45901</x:v>
      </x:c>
      <x:c r="N626" s="36" t="str">
        <x:f>IF(I626="","",DATE(YEAR(I626),MONTH(I626),1))</x:f>
      </x:c>
    </x:row>
    <x:row r="627">
      <x:c r="A627" s="16" t="str">
        <x:v>HG-01626</x:v>
      </x:c>
      <x:c r="B627" s="16" t="str">
        <x:v>Raisa Hossain</x:v>
      </x:c>
      <x:c r="C627" s="16" t="str">
        <x:v>Female</x:v>
      </x:c>
      <x:c r="D627" s="16" t="str">
        <x:v>Supply Chain</x:v>
      </x:c>
      <x:c r="E627" s="16" t="str">
        <x:v>Assistant Manager - Supply Chain</x:v>
      </x:c>
      <x:c r="F627" s="16" t="str">
        <x:v>Narayanganj Plant</x:v>
      </x:c>
      <x:c r="G627" s="16" t="str">
        <x:v>Permanent</x:v>
      </x:c>
      <x:c r="H627" s="35" t="n">
        <x:v>45903</x:v>
      </x:c>
      <x:c r="I627" s="35"/>
      <x:c r="J627" s="16" t="str"/>
      <x:c r="K627" s="16" t="str">
        <x:f>IF(I627="","Active","Exited")</x:f>
        <x:v>Active</x:v>
      </x:c>
      <x:c r="L627" s="16" t="n">
        <x:f>(YEAR(IF(I627="",TODAY(),I627))-YEAR(H627))*12+MONTH(IF(I627="",TODAY(),I627))-MONTH(H627)</x:f>
        <x:v>10</x:v>
      </x:c>
      <x:c r="M627" s="36" t="n">
        <x:f>DATE(YEAR(H627),MONTH(H627),1)</x:f>
        <x:v>45901</x:v>
      </x:c>
      <x:c r="N627" s="36" t="str">
        <x:f>IF(I627="","",DATE(YEAR(I627),MONTH(I627),1))</x:f>
      </x:c>
    </x:row>
    <x:row r="628">
      <x:c r="A628" s="16" t="str">
        <x:v>HG-01627</x:v>
      </x:c>
      <x:c r="B628" s="16" t="str">
        <x:v>Maliha Karim</x:v>
      </x:c>
      <x:c r="C628" s="16" t="str">
        <x:v>Female</x:v>
      </x:c>
      <x:c r="D628" s="16" t="str">
        <x:v>Information Technology</x:v>
      </x:c>
      <x:c r="E628" s="16" t="str">
        <x:v>Software Executive</x:v>
      </x:c>
      <x:c r="F628" s="16" t="str">
        <x:v>Dhaka Head Office</x:v>
      </x:c>
      <x:c r="G628" s="16" t="str">
        <x:v>Permanent</x:v>
      </x:c>
      <x:c r="H628" s="35" t="n">
        <x:v>45917</x:v>
      </x:c>
      <x:c r="I628" s="35"/>
      <x:c r="J628" s="16" t="str"/>
      <x:c r="K628" s="16" t="str">
        <x:f>IF(I628="","Active","Exited")</x:f>
        <x:v>Active</x:v>
      </x:c>
      <x:c r="L628" s="16" t="n">
        <x:f>(YEAR(IF(I628="",TODAY(),I628))-YEAR(H628))*12+MONTH(IF(I628="",TODAY(),I628))-MONTH(H628)</x:f>
        <x:v>10</x:v>
      </x:c>
      <x:c r="M628" s="36" t="n">
        <x:f>DATE(YEAR(H628),MONTH(H628),1)</x:f>
        <x:v>45901</x:v>
      </x:c>
      <x:c r="N628" s="36" t="str">
        <x:f>IF(I628="","",DATE(YEAR(I628),MONTH(I628),1))</x:f>
      </x:c>
    </x:row>
    <x:row r="629">
      <x:c r="A629" s="16" t="str">
        <x:v>HG-01628</x:v>
      </x:c>
      <x:c r="B629" s="16" t="str">
        <x:v>Mehedi Hasan</x:v>
      </x:c>
      <x:c r="C629" s="16" t="str">
        <x:v>Male</x:v>
      </x:c>
      <x:c r="D629" s="16" t="str">
        <x:v>Finance &amp; Accounts</x:v>
      </x:c>
      <x:c r="E629" s="16" t="str">
        <x:v>Payroll Executive</x:v>
      </x:c>
      <x:c r="F629" s="16" t="str">
        <x:v>Narayanganj Plant</x:v>
      </x:c>
      <x:c r="G629" s="16" t="str">
        <x:v>Permanent</x:v>
      </x:c>
      <x:c r="H629" s="35" t="n">
        <x:v>45930</x:v>
      </x:c>
      <x:c r="I629" s="35"/>
      <x:c r="J629" s="16" t="str"/>
      <x:c r="K629" s="16" t="str">
        <x:f>IF(I629="","Active","Exited")</x:f>
        <x:v>Active</x:v>
      </x:c>
      <x:c r="L629" s="16" t="n">
        <x:f>(YEAR(IF(I629="",TODAY(),I629))-YEAR(H629))*12+MONTH(IF(I629="",TODAY(),I629))-MONTH(H629)</x:f>
        <x:v>10</x:v>
      </x:c>
      <x:c r="M629" s="36" t="n">
        <x:f>DATE(YEAR(H629),MONTH(H629),1)</x:f>
        <x:v>45901</x:v>
      </x:c>
      <x:c r="N629" s="36" t="str">
        <x:f>IF(I629="","",DATE(YEAR(I629),MONTH(I629),1))</x:f>
      </x:c>
    </x:row>
    <x:row r="630">
      <x:c r="A630" s="16" t="str">
        <x:v>HG-01629</x:v>
      </x:c>
      <x:c r="B630" s="16" t="str">
        <x:v>Arif Uddin</x:v>
      </x:c>
      <x:c r="C630" s="16" t="str">
        <x:v>Male</x:v>
      </x:c>
      <x:c r="D630" s="16" t="str">
        <x:v>Production</x:v>
      </x:c>
      <x:c r="E630" s="16" t="str">
        <x:v>Production Operator</x:v>
      </x:c>
      <x:c r="F630" s="16" t="str">
        <x:v>Gazipur Plant</x:v>
      </x:c>
      <x:c r="G630" s="16" t="str">
        <x:v>Permanent</x:v>
      </x:c>
      <x:c r="H630" s="35" t="n">
        <x:v>45912</x:v>
      </x:c>
      <x:c r="I630" s="35"/>
      <x:c r="J630" s="16" t="str"/>
      <x:c r="K630" s="16" t="str">
        <x:f>IF(I630="","Active","Exited")</x:f>
        <x:v>Active</x:v>
      </x:c>
      <x:c r="L630" s="16" t="n">
        <x:f>(YEAR(IF(I630="",TODAY(),I630))-YEAR(H630))*12+MONTH(IF(I630="",TODAY(),I630))-MONTH(H630)</x:f>
        <x:v>10</x:v>
      </x:c>
      <x:c r="M630" s="36" t="n">
        <x:f>DATE(YEAR(H630),MONTH(H630),1)</x:f>
        <x:v>45901</x:v>
      </x:c>
      <x:c r="N630" s="36" t="str">
        <x:f>IF(I630="","",DATE(YEAR(I630),MONTH(I630),1))</x:f>
      </x:c>
    </x:row>
    <x:row r="631">
      <x:c r="A631" s="16" t="str">
        <x:v>HG-01630</x:v>
      </x:c>
      <x:c r="B631" s="16" t="str">
        <x:v>Shakil Khan</x:v>
      </x:c>
      <x:c r="C631" s="16" t="str">
        <x:v>Male</x:v>
      </x:c>
      <x:c r="D631" s="16" t="str">
        <x:v>Quality Assurance</x:v>
      </x:c>
      <x:c r="E631" s="16" t="str">
        <x:v>Assistant Manager - QA</x:v>
      </x:c>
      <x:c r="F631" s="16" t="str">
        <x:v>Gazipur Plant</x:v>
      </x:c>
      <x:c r="G631" s="16" t="str">
        <x:v>Probation</x:v>
      </x:c>
      <x:c r="H631" s="35" t="n">
        <x:v>45912</x:v>
      </x:c>
      <x:c r="I631" s="35"/>
      <x:c r="J631" s="16" t="str"/>
      <x:c r="K631" s="16" t="str">
        <x:f>IF(I631="","Active","Exited")</x:f>
        <x:v>Active</x:v>
      </x:c>
      <x:c r="L631" s="16" t="n">
        <x:f>(YEAR(IF(I631="",TODAY(),I631))-YEAR(H631))*12+MONTH(IF(I631="",TODAY(),I631))-MONTH(H631)</x:f>
        <x:v>10</x:v>
      </x:c>
      <x:c r="M631" s="36" t="n">
        <x:f>DATE(YEAR(H631),MONTH(H631),1)</x:f>
        <x:v>45901</x:v>
      </x:c>
      <x:c r="N631" s="36" t="str">
        <x:f>IF(I631="","",DATE(YEAR(I631),MONTH(I631),1))</x:f>
      </x:c>
    </x:row>
    <x:row r="632">
      <x:c r="A632" s="16" t="str">
        <x:v>HG-01631</x:v>
      </x:c>
      <x:c r="B632" s="16" t="str">
        <x:v>Nazmul Miah</x:v>
      </x:c>
      <x:c r="C632" s="16" t="str">
        <x:v>Male</x:v>
      </x:c>
      <x:c r="D632" s="16" t="str">
        <x:v>Production</x:v>
      </x:c>
      <x:c r="E632" s="16" t="str">
        <x:v>Assistant Manager - Production</x:v>
      </x:c>
      <x:c r="F632" s="16" t="str">
        <x:v>Gazipur Plant</x:v>
      </x:c>
      <x:c r="G632" s="16" t="str">
        <x:v>Permanent</x:v>
      </x:c>
      <x:c r="H632" s="35" t="n">
        <x:v>45910</x:v>
      </x:c>
      <x:c r="I632" s="35"/>
      <x:c r="J632" s="16" t="str"/>
      <x:c r="K632" s="16" t="str">
        <x:f>IF(I632="","Active","Exited")</x:f>
        <x:v>Active</x:v>
      </x:c>
      <x:c r="L632" s="16" t="n">
        <x:f>(YEAR(IF(I632="",TODAY(),I632))-YEAR(H632))*12+MONTH(IF(I632="",TODAY(),I632))-MONTH(H632)</x:f>
        <x:v>10</x:v>
      </x:c>
      <x:c r="M632" s="36" t="n">
        <x:f>DATE(YEAR(H632),MONTH(H632),1)</x:f>
        <x:v>45901</x:v>
      </x:c>
      <x:c r="N632" s="36" t="str">
        <x:f>IF(I632="","",DATE(YEAR(I632),MONTH(I632),1))</x:f>
      </x:c>
    </x:row>
    <x:row r="633">
      <x:c r="A633" s="16" t="str">
        <x:v>HG-01632</x:v>
      </x:c>
      <x:c r="B633" s="16" t="str">
        <x:v>Jubayer Kabir</x:v>
      </x:c>
      <x:c r="C633" s="16" t="str">
        <x:v>Male</x:v>
      </x:c>
      <x:c r="D633" s="16" t="str">
        <x:v>Quality Assurance</x:v>
      </x:c>
      <x:c r="E633" s="16" t="str">
        <x:v>Assistant Manager - QA</x:v>
      </x:c>
      <x:c r="F633" s="16" t="str">
        <x:v>Gazipur Plant</x:v>
      </x:c>
      <x:c r="G633" s="16" t="str">
        <x:v>Permanent</x:v>
      </x:c>
      <x:c r="H633" s="35" t="n">
        <x:v>45904</x:v>
      </x:c>
      <x:c r="I633" s="35"/>
      <x:c r="J633" s="16" t="str"/>
      <x:c r="K633" s="16" t="str">
        <x:f>IF(I633="","Active","Exited")</x:f>
        <x:v>Active</x:v>
      </x:c>
      <x:c r="L633" s="16" t="n">
        <x:f>(YEAR(IF(I633="",TODAY(),I633))-YEAR(H633))*12+MONTH(IF(I633="",TODAY(),I633))-MONTH(H633)</x:f>
        <x:v>10</x:v>
      </x:c>
      <x:c r="M633" s="36" t="n">
        <x:f>DATE(YEAR(H633),MONTH(H633),1)</x:f>
        <x:v>45901</x:v>
      </x:c>
      <x:c r="N633" s="36" t="str">
        <x:f>IF(I633="","",DATE(YEAR(I633),MONTH(I633),1))</x:f>
      </x:c>
    </x:row>
    <x:row r="634">
      <x:c r="A634" s="16" t="str">
        <x:v>HG-01633</x:v>
      </x:c>
      <x:c r="B634" s="16" t="str">
        <x:v>Jubayer Islam</x:v>
      </x:c>
      <x:c r="C634" s="16" t="str">
        <x:v>Male</x:v>
      </x:c>
      <x:c r="D634" s="16" t="str">
        <x:v>Quality Assurance</x:v>
      </x:c>
      <x:c r="E634" s="16" t="str">
        <x:v>Assistant Manager - QA</x:v>
      </x:c>
      <x:c r="F634" s="16" t="str">
        <x:v>Gazipur Plant</x:v>
      </x:c>
      <x:c r="G634" s="16" t="str">
        <x:v>Permanent</x:v>
      </x:c>
      <x:c r="H634" s="35" t="n">
        <x:v>45913</x:v>
      </x:c>
      <x:c r="I634" s="35"/>
      <x:c r="J634" s="16" t="str"/>
      <x:c r="K634" s="16" t="str">
        <x:f>IF(I634="","Active","Exited")</x:f>
        <x:v>Active</x:v>
      </x:c>
      <x:c r="L634" s="16" t="n">
        <x:f>(YEAR(IF(I634="",TODAY(),I634))-YEAR(H634))*12+MONTH(IF(I634="",TODAY(),I634))-MONTH(H634)</x:f>
        <x:v>10</x:v>
      </x:c>
      <x:c r="M634" s="36" t="n">
        <x:f>DATE(YEAR(H634),MONTH(H634),1)</x:f>
        <x:v>45901</x:v>
      </x:c>
      <x:c r="N634" s="36" t="str">
        <x:f>IF(I634="","",DATE(YEAR(I634),MONTH(I634),1))</x:f>
      </x:c>
    </x:row>
    <x:row r="635">
      <x:c r="A635" s="16" t="str">
        <x:v>HG-01634</x:v>
      </x:c>
      <x:c r="B635" s="16" t="str">
        <x:v>Tanvir Uddin</x:v>
      </x:c>
      <x:c r="C635" s="16" t="str">
        <x:v>Male</x:v>
      </x:c>
      <x:c r="D635" s="16" t="str">
        <x:v>Information Technology</x:v>
      </x:c>
      <x:c r="E635" s="16" t="str">
        <x:v>Data Analyst</x:v>
      </x:c>
      <x:c r="F635" s="16" t="str">
        <x:v>Dhaka Head Office</x:v>
      </x:c>
      <x:c r="G635" s="16" t="str">
        <x:v>Permanent</x:v>
      </x:c>
      <x:c r="H635" s="35" t="n">
        <x:v>45920</x:v>
      </x:c>
      <x:c r="I635" s="35"/>
      <x:c r="J635" s="16" t="str"/>
      <x:c r="K635" s="16" t="str">
        <x:f>IF(I635="","Active","Exited")</x:f>
        <x:v>Active</x:v>
      </x:c>
      <x:c r="L635" s="16" t="n">
        <x:f>(YEAR(IF(I635="",TODAY(),I635))-YEAR(H635))*12+MONTH(IF(I635="",TODAY(),I635))-MONTH(H635)</x:f>
        <x:v>10</x:v>
      </x:c>
      <x:c r="M635" s="36" t="n">
        <x:f>DATE(YEAR(H635),MONTH(H635),1)</x:f>
        <x:v>45901</x:v>
      </x:c>
      <x:c r="N635" s="36" t="str">
        <x:f>IF(I635="","",DATE(YEAR(I635),MONTH(I635),1))</x:f>
      </x:c>
    </x:row>
    <x:row r="636">
      <x:c r="A636" s="16" t="str">
        <x:v>HG-01635</x:v>
      </x:c>
      <x:c r="B636" s="16" t="str">
        <x:v>Raisa Miah</x:v>
      </x:c>
      <x:c r="C636" s="16" t="str">
        <x:v>Female</x:v>
      </x:c>
      <x:c r="D636" s="16" t="str">
        <x:v>Quality Assurance</x:v>
      </x:c>
      <x:c r="E636" s="16" t="str">
        <x:v>QA Officer</x:v>
      </x:c>
      <x:c r="F636" s="16" t="str">
        <x:v>Chattogram Office</x:v>
      </x:c>
      <x:c r="G636" s="16" t="str">
        <x:v>Contract</x:v>
      </x:c>
      <x:c r="H636" s="35" t="n">
        <x:v>45909</x:v>
      </x:c>
      <x:c r="I636" s="35" t="n">
        <x:v>45948</x:v>
      </x:c>
      <x:c r="J636" s="16" t="str">
        <x:v>Compensation &amp; Benefits</x:v>
      </x:c>
      <x:c r="K636" s="16" t="str">
        <x:f>IF(I636="","Active","Exited")</x:f>
        <x:v>Exited</x:v>
      </x:c>
      <x:c r="L636" s="16" t="n">
        <x:f>(YEAR(IF(I636="",TODAY(),I636))-YEAR(H636))*12+MONTH(IF(I636="",TODAY(),I636))-MONTH(H636)</x:f>
        <x:v>1</x:v>
      </x:c>
      <x:c r="M636" s="36" t="n">
        <x:f>DATE(YEAR(H636),MONTH(H636),1)</x:f>
        <x:v>45901</x:v>
      </x:c>
      <x:c r="N636" s="36" t="n">
        <x:f>IF(I636="","",DATE(YEAR(I636),MONTH(I636),1))</x:f>
        <x:v>45931</x:v>
      </x:c>
    </x:row>
    <x:row r="637">
      <x:c r="A637" s="16" t="str">
        <x:v>HG-01636</x:v>
      </x:c>
      <x:c r="B637" s="16" t="str">
        <x:v>Jubayer Sarker</x:v>
      </x:c>
      <x:c r="C637" s="16" t="str">
        <x:v>Male</x:v>
      </x:c>
      <x:c r="D637" s="16" t="str">
        <x:v>Supply Chain</x:v>
      </x:c>
      <x:c r="E637" s="16" t="str">
        <x:v>Logistics Executive</x:v>
      </x:c>
      <x:c r="F637" s="16" t="str">
        <x:v>Narayanganj Plant</x:v>
      </x:c>
      <x:c r="G637" s="16" t="str">
        <x:v>Permanent</x:v>
      </x:c>
      <x:c r="H637" s="35" t="n">
        <x:v>45920</x:v>
      </x:c>
      <x:c r="I637" s="35"/>
      <x:c r="J637" s="16" t="str"/>
      <x:c r="K637" s="16" t="str">
        <x:f>IF(I637="","Active","Exited")</x:f>
        <x:v>Active</x:v>
      </x:c>
      <x:c r="L637" s="16" t="n">
        <x:f>(YEAR(IF(I637="",TODAY(),I637))-YEAR(H637))*12+MONTH(IF(I637="",TODAY(),I637))-MONTH(H637)</x:f>
        <x:v>10</x:v>
      </x:c>
      <x:c r="M637" s="36" t="n">
        <x:f>DATE(YEAR(H637),MONTH(H637),1)</x:f>
        <x:v>45901</x:v>
      </x:c>
      <x:c r="N637" s="36" t="str">
        <x:f>IF(I637="","",DATE(YEAR(I637),MONTH(I637),1))</x:f>
      </x:c>
    </x:row>
    <x:row r="638">
      <x:c r="A638" s="16" t="str">
        <x:v>HG-01637</x:v>
      </x:c>
      <x:c r="B638" s="16" t="str">
        <x:v>Sharmin Hossain</x:v>
      </x:c>
      <x:c r="C638" s="16" t="str">
        <x:v>Female</x:v>
      </x:c>
      <x:c r="D638" s="16" t="str">
        <x:v>Production</x:v>
      </x:c>
      <x:c r="E638" s="16" t="str">
        <x:v>Assistant Manager - Production</x:v>
      </x:c>
      <x:c r="F638" s="16" t="str">
        <x:v>Gazipur Plant</x:v>
      </x:c>
      <x:c r="G638" s="16" t="str">
        <x:v>Permanent</x:v>
      </x:c>
      <x:c r="H638" s="35" t="n">
        <x:v>45921</x:v>
      </x:c>
      <x:c r="I638" s="35"/>
      <x:c r="J638" s="16" t="str"/>
      <x:c r="K638" s="16" t="str">
        <x:f>IF(I638="","Active","Exited")</x:f>
        <x:v>Active</x:v>
      </x:c>
      <x:c r="L638" s="16" t="n">
        <x:f>(YEAR(IF(I638="",TODAY(),I638))-YEAR(H638))*12+MONTH(IF(I638="",TODAY(),I638))-MONTH(H638)</x:f>
        <x:v>10</x:v>
      </x:c>
      <x:c r="M638" s="36" t="n">
        <x:f>DATE(YEAR(H638),MONTH(H638),1)</x:f>
        <x:v>45901</x:v>
      </x:c>
      <x:c r="N638" s="36" t="str">
        <x:f>IF(I638="","",DATE(YEAR(I638),MONTH(I638),1))</x:f>
      </x:c>
    </x:row>
    <x:row r="639">
      <x:c r="A639" s="16" t="str">
        <x:v>HG-01638</x:v>
      </x:c>
      <x:c r="B639" s="16" t="str">
        <x:v>Foysal Rahman</x:v>
      </x:c>
      <x:c r="C639" s="16" t="str">
        <x:v>Male</x:v>
      </x:c>
      <x:c r="D639" s="16" t="str">
        <x:v>Human Resources</x:v>
      </x:c>
      <x:c r="E639" s="16" t="str">
        <x:v>Senior HR Executive</x:v>
      </x:c>
      <x:c r="F639" s="16" t="str">
        <x:v>Narayanganj Plant</x:v>
      </x:c>
      <x:c r="G639" s="16" t="str">
        <x:v>Contract</x:v>
      </x:c>
      <x:c r="H639" s="35" t="n">
        <x:v>45915</x:v>
      </x:c>
      <x:c r="I639" s="35"/>
      <x:c r="J639" s="16" t="str"/>
      <x:c r="K639" s="16" t="str">
        <x:f>IF(I639="","Active","Exited")</x:f>
        <x:v>Active</x:v>
      </x:c>
      <x:c r="L639" s="16" t="n">
        <x:f>(YEAR(IF(I639="",TODAY(),I639))-YEAR(H639))*12+MONTH(IF(I639="",TODAY(),I639))-MONTH(H639)</x:f>
        <x:v>10</x:v>
      </x:c>
      <x:c r="M639" s="36" t="n">
        <x:f>DATE(YEAR(H639),MONTH(H639),1)</x:f>
        <x:v>45901</x:v>
      </x:c>
      <x:c r="N639" s="36" t="str">
        <x:f>IF(I639="","",DATE(YEAR(I639),MONTH(I639),1))</x:f>
      </x:c>
    </x:row>
    <x:row r="640">
      <x:c r="A640" s="16" t="str">
        <x:v>HG-01639</x:v>
      </x:c>
      <x:c r="B640" s="16" t="str">
        <x:v>Jannat Sarker</x:v>
      </x:c>
      <x:c r="C640" s="16" t="str">
        <x:v>Female</x:v>
      </x:c>
      <x:c r="D640" s="16" t="str">
        <x:v>Production</x:v>
      </x:c>
      <x:c r="E640" s="16" t="str">
        <x:v>Production Operator</x:v>
      </x:c>
      <x:c r="F640" s="16" t="str">
        <x:v>Dhaka Head Office</x:v>
      </x:c>
      <x:c r="G640" s="16" t="str">
        <x:v>Permanent</x:v>
      </x:c>
      <x:c r="H640" s="35" t="n">
        <x:v>45918</x:v>
      </x:c>
      <x:c r="I640" s="35"/>
      <x:c r="J640" s="16" t="str"/>
      <x:c r="K640" s="16" t="str">
        <x:f>IF(I640="","Active","Exited")</x:f>
        <x:v>Active</x:v>
      </x:c>
      <x:c r="L640" s="16" t="n">
        <x:f>(YEAR(IF(I640="",TODAY(),I640))-YEAR(H640))*12+MONTH(IF(I640="",TODAY(),I640))-MONTH(H640)</x:f>
        <x:v>10</x:v>
      </x:c>
      <x:c r="M640" s="36" t="n">
        <x:f>DATE(YEAR(H640),MONTH(H640),1)</x:f>
        <x:v>45901</x:v>
      </x:c>
      <x:c r="N640" s="36" t="str">
        <x:f>IF(I640="","",DATE(YEAR(I640),MONTH(I640),1))</x:f>
      </x:c>
    </x:row>
    <x:row r="641">
      <x:c r="A641" s="16" t="str">
        <x:v>HG-01640</x:v>
      </x:c>
      <x:c r="B641" s="16" t="str">
        <x:v>Mahmud Islam</x:v>
      </x:c>
      <x:c r="C641" s="16" t="str">
        <x:v>Male</x:v>
      </x:c>
      <x:c r="D641" s="16" t="str">
        <x:v>Sales &amp; Marketing</x:v>
      </x:c>
      <x:c r="E641" s="16" t="str">
        <x:v>Sales Executive</x:v>
      </x:c>
      <x:c r="F641" s="16" t="str">
        <x:v>Dhaka Head Office</x:v>
      </x:c>
      <x:c r="G641" s="16" t="str">
        <x:v>Permanent</x:v>
      </x:c>
      <x:c r="H641" s="35" t="n">
        <x:v>45908</x:v>
      </x:c>
      <x:c r="I641" s="35"/>
      <x:c r="J641" s="16" t="str"/>
      <x:c r="K641" s="16" t="str">
        <x:f>IF(I641="","Active","Exited")</x:f>
        <x:v>Active</x:v>
      </x:c>
      <x:c r="L641" s="16" t="n">
        <x:f>(YEAR(IF(I641="",TODAY(),I641))-YEAR(H641))*12+MONTH(IF(I641="",TODAY(),I641))-MONTH(H641)</x:f>
        <x:v>10</x:v>
      </x:c>
      <x:c r="M641" s="36" t="n">
        <x:f>DATE(YEAR(H641),MONTH(H641),1)</x:f>
        <x:v>45901</x:v>
      </x:c>
      <x:c r="N641" s="36" t="str">
        <x:f>IF(I641="","",DATE(YEAR(I641),MONTH(I641),1))</x:f>
      </x:c>
    </x:row>
    <x:row r="642">
      <x:c r="A642" s="16" t="str">
        <x:v>HG-01641</x:v>
      </x:c>
      <x:c r="B642" s="16" t="str">
        <x:v>Mim Begum</x:v>
      </x:c>
      <x:c r="C642" s="16" t="str">
        <x:v>Female</x:v>
      </x:c>
      <x:c r="D642" s="16" t="str">
        <x:v>Quality Assurance</x:v>
      </x:c>
      <x:c r="E642" s="16" t="str">
        <x:v>Assistant Manager - QA</x:v>
      </x:c>
      <x:c r="F642" s="16" t="str">
        <x:v>Narayanganj Plant</x:v>
      </x:c>
      <x:c r="G642" s="16" t="str">
        <x:v>Permanent</x:v>
      </x:c>
      <x:c r="H642" s="35" t="n">
        <x:v>45948</x:v>
      </x:c>
      <x:c r="I642" s="35"/>
      <x:c r="J642" s="16" t="str"/>
      <x:c r="K642" s="16" t="str">
        <x:f>IF(I642="","Active","Exited")</x:f>
        <x:v>Active</x:v>
      </x:c>
      <x:c r="L642" s="16" t="n">
        <x:f>(YEAR(IF(I642="",TODAY(),I642))-YEAR(H642))*12+MONTH(IF(I642="",TODAY(),I642))-MONTH(H642)</x:f>
        <x:v>9</x:v>
      </x:c>
      <x:c r="M642" s="36" t="n">
        <x:f>DATE(YEAR(H642),MONTH(H642),1)</x:f>
        <x:v>45931</x:v>
      </x:c>
      <x:c r="N642" s="36" t="str">
        <x:f>IF(I642="","",DATE(YEAR(I642),MONTH(I642),1))</x:f>
      </x:c>
    </x:row>
    <x:row r="643">
      <x:c r="A643" s="16" t="str">
        <x:v>HG-01642</x:v>
      </x:c>
      <x:c r="B643" s="16" t="str">
        <x:v>Nusrat Miah</x:v>
      </x:c>
      <x:c r="C643" s="16" t="str">
        <x:v>Female</x:v>
      </x:c>
      <x:c r="D643" s="16" t="str">
        <x:v>Supply Chain</x:v>
      </x:c>
      <x:c r="E643" s="16" t="str">
        <x:v>Assistant Manager - Supply Chain</x:v>
      </x:c>
      <x:c r="F643" s="16" t="str">
        <x:v>Gazipur Plant</x:v>
      </x:c>
      <x:c r="G643" s="16" t="str">
        <x:v>Permanent</x:v>
      </x:c>
      <x:c r="H643" s="35" t="n">
        <x:v>45931</x:v>
      </x:c>
      <x:c r="I643" s="35"/>
      <x:c r="J643" s="16" t="str"/>
      <x:c r="K643" s="16" t="str">
        <x:f>IF(I643="","Active","Exited")</x:f>
        <x:v>Active</x:v>
      </x:c>
      <x:c r="L643" s="16" t="n">
        <x:f>(YEAR(IF(I643="",TODAY(),I643))-YEAR(H643))*12+MONTH(IF(I643="",TODAY(),I643))-MONTH(H643)</x:f>
        <x:v>9</x:v>
      </x:c>
      <x:c r="M643" s="36" t="n">
        <x:f>DATE(YEAR(H643),MONTH(H643),1)</x:f>
        <x:v>45931</x:v>
      </x:c>
      <x:c r="N643" s="36" t="str">
        <x:f>IF(I643="","",DATE(YEAR(I643),MONTH(I643),1))</x:f>
      </x:c>
    </x:row>
    <x:row r="644">
      <x:c r="A644" s="16" t="str">
        <x:v>HG-01643</x:v>
      </x:c>
      <x:c r="B644" s="16" t="str">
        <x:v>Nabila Begum</x:v>
      </x:c>
      <x:c r="C644" s="16" t="str">
        <x:v>Female</x:v>
      </x:c>
      <x:c r="D644" s="16" t="str">
        <x:v>Production</x:v>
      </x:c>
      <x:c r="E644" s="16" t="str">
        <x:v>Production Operator</x:v>
      </x:c>
      <x:c r="F644" s="16" t="str">
        <x:v>Narayanganj Plant</x:v>
      </x:c>
      <x:c r="G644" s="16" t="str">
        <x:v>Permanent</x:v>
      </x:c>
      <x:c r="H644" s="35" t="n">
        <x:v>45955</x:v>
      </x:c>
      <x:c r="I644" s="35"/>
      <x:c r="J644" s="16" t="str"/>
      <x:c r="K644" s="16" t="str">
        <x:f>IF(I644="","Active","Exited")</x:f>
        <x:v>Active</x:v>
      </x:c>
      <x:c r="L644" s="16" t="n">
        <x:f>(YEAR(IF(I644="",TODAY(),I644))-YEAR(H644))*12+MONTH(IF(I644="",TODAY(),I644))-MONTH(H644)</x:f>
        <x:v>9</x:v>
      </x:c>
      <x:c r="M644" s="36" t="n">
        <x:f>DATE(YEAR(H644),MONTH(H644),1)</x:f>
        <x:v>45931</x:v>
      </x:c>
      <x:c r="N644" s="36" t="str">
        <x:f>IF(I644="","",DATE(YEAR(I644),MONTH(I644),1))</x:f>
      </x:c>
    </x:row>
    <x:row r="645">
      <x:c r="A645" s="16" t="str">
        <x:v>HG-01644</x:v>
      </x:c>
      <x:c r="B645" s="16" t="str">
        <x:v>Sumaiya Karim</x:v>
      </x:c>
      <x:c r="C645" s="16" t="str">
        <x:v>Female</x:v>
      </x:c>
      <x:c r="D645" s="16" t="str">
        <x:v>Administration</x:v>
      </x:c>
      <x:c r="E645" s="16" t="str">
        <x:v>Facility Officer</x:v>
      </x:c>
      <x:c r="F645" s="16" t="str">
        <x:v>Dhaka Head Office</x:v>
      </x:c>
      <x:c r="G645" s="16" t="str">
        <x:v>Permanent</x:v>
      </x:c>
      <x:c r="H645" s="35" t="n">
        <x:v>45959</x:v>
      </x:c>
      <x:c r="I645" s="35"/>
      <x:c r="J645" s="16" t="str"/>
      <x:c r="K645" s="16" t="str">
        <x:f>IF(I645="","Active","Exited")</x:f>
        <x:v>Active</x:v>
      </x:c>
      <x:c r="L645" s="16" t="n">
        <x:f>(YEAR(IF(I645="",TODAY(),I645))-YEAR(H645))*12+MONTH(IF(I645="",TODAY(),I645))-MONTH(H645)</x:f>
        <x:v>9</x:v>
      </x:c>
      <x:c r="M645" s="36" t="n">
        <x:f>DATE(YEAR(H645),MONTH(H645),1)</x:f>
        <x:v>45931</x:v>
      </x:c>
      <x:c r="N645" s="36" t="str">
        <x:f>IF(I645="","",DATE(YEAR(I645),MONTH(I645),1))</x:f>
      </x:c>
    </x:row>
    <x:row r="646">
      <x:c r="A646" s="16" t="str">
        <x:v>HG-01645</x:v>
      </x:c>
      <x:c r="B646" s="16" t="str">
        <x:v>Nayeem Sarker</x:v>
      </x:c>
      <x:c r="C646" s="16" t="str">
        <x:v>Male</x:v>
      </x:c>
      <x:c r="D646" s="16" t="str">
        <x:v>Supply Chain</x:v>
      </x:c>
      <x:c r="E646" s="16" t="str">
        <x:v>Logistics Executive</x:v>
      </x:c>
      <x:c r="F646" s="16" t="str">
        <x:v>Gazipur Plant</x:v>
      </x:c>
      <x:c r="G646" s="16" t="str">
        <x:v>Permanent</x:v>
      </x:c>
      <x:c r="H646" s="35" t="n">
        <x:v>45934</x:v>
      </x:c>
      <x:c r="I646" s="35"/>
      <x:c r="J646" s="16" t="str"/>
      <x:c r="K646" s="16" t="str">
        <x:f>IF(I646="","Active","Exited")</x:f>
        <x:v>Active</x:v>
      </x:c>
      <x:c r="L646" s="16" t="n">
        <x:f>(YEAR(IF(I646="",TODAY(),I646))-YEAR(H646))*12+MONTH(IF(I646="",TODAY(),I646))-MONTH(H646)</x:f>
        <x:v>9</x:v>
      </x:c>
      <x:c r="M646" s="36" t="n">
        <x:f>DATE(YEAR(H646),MONTH(H646),1)</x:f>
        <x:v>45931</x:v>
      </x:c>
      <x:c r="N646" s="36" t="str">
        <x:f>IF(I646="","",DATE(YEAR(I646),MONTH(I646),1))</x:f>
      </x:c>
    </x:row>
    <x:row r="647">
      <x:c r="A647" s="16" t="str">
        <x:v>HG-01646</x:v>
      </x:c>
      <x:c r="B647" s="16" t="str">
        <x:v>Shakil Hasan</x:v>
      </x:c>
      <x:c r="C647" s="16" t="str">
        <x:v>Male</x:v>
      </x:c>
      <x:c r="D647" s="16" t="str">
        <x:v>Sales &amp; Marketing</x:v>
      </x:c>
      <x:c r="E647" s="16" t="str">
        <x:v>Assistant Manager - Sales</x:v>
      </x:c>
      <x:c r="F647" s="16" t="str">
        <x:v>Dhaka Head Office</x:v>
      </x:c>
      <x:c r="G647" s="16" t="str">
        <x:v>Contract</x:v>
      </x:c>
      <x:c r="H647" s="35" t="n">
        <x:v>45943</x:v>
      </x:c>
      <x:c r="I647" s="35" t="n">
        <x:v>46001</x:v>
      </x:c>
      <x:c r="J647" s="16" t="str">
        <x:v>Performance</x:v>
      </x:c>
      <x:c r="K647" s="16" t="str">
        <x:f>IF(I647="","Active","Exited")</x:f>
        <x:v>Exited</x:v>
      </x:c>
      <x:c r="L647" s="16" t="n">
        <x:f>(YEAR(IF(I647="",TODAY(),I647))-YEAR(H647))*12+MONTH(IF(I647="",TODAY(),I647))-MONTH(H647)</x:f>
        <x:v>2</x:v>
      </x:c>
      <x:c r="M647" s="36" t="n">
        <x:f>DATE(YEAR(H647),MONTH(H647),1)</x:f>
        <x:v>45931</x:v>
      </x:c>
      <x:c r="N647" s="36" t="n">
        <x:f>IF(I647="","",DATE(YEAR(I647),MONTH(I647),1))</x:f>
        <x:v>45992</x:v>
      </x:c>
    </x:row>
    <x:row r="648">
      <x:c r="A648" s="16" t="str">
        <x:v>HG-01647</x:v>
      </x:c>
      <x:c r="B648" s="16" t="str">
        <x:v>Rafi Miah</x:v>
      </x:c>
      <x:c r="C648" s="16" t="str">
        <x:v>Male</x:v>
      </x:c>
      <x:c r="D648" s="16" t="str">
        <x:v>Finance &amp; Accounts</x:v>
      </x:c>
      <x:c r="E648" s="16" t="str">
        <x:v>Finance Officer</x:v>
      </x:c>
      <x:c r="F648" s="16" t="str">
        <x:v>Dhaka Head Office</x:v>
      </x:c>
      <x:c r="G648" s="16" t="str">
        <x:v>Permanent</x:v>
      </x:c>
      <x:c r="H648" s="35" t="n">
        <x:v>45943</x:v>
      </x:c>
      <x:c r="I648" s="35"/>
      <x:c r="J648" s="16" t="str"/>
      <x:c r="K648" s="16" t="str">
        <x:f>IF(I648="","Active","Exited")</x:f>
        <x:v>Active</x:v>
      </x:c>
      <x:c r="L648" s="16" t="n">
        <x:f>(YEAR(IF(I648="",TODAY(),I648))-YEAR(H648))*12+MONTH(IF(I648="",TODAY(),I648))-MONTH(H648)</x:f>
        <x:v>9</x:v>
      </x:c>
      <x:c r="M648" s="36" t="n">
        <x:f>DATE(YEAR(H648),MONTH(H648),1)</x:f>
        <x:v>45931</x:v>
      </x:c>
      <x:c r="N648" s="36" t="str">
        <x:f>IF(I648="","",DATE(YEAR(I648),MONTH(I648),1))</x:f>
      </x:c>
    </x:row>
    <x:row r="649">
      <x:c r="A649" s="16" t="str">
        <x:v>HG-01648</x:v>
      </x:c>
      <x:c r="B649" s="16" t="str">
        <x:v>Jannat Begum</x:v>
      </x:c>
      <x:c r="C649" s="16" t="str">
        <x:v>Female</x:v>
      </x:c>
      <x:c r="D649" s="16" t="str">
        <x:v>Production</x:v>
      </x:c>
      <x:c r="E649" s="16" t="str">
        <x:v>Assistant Manager - Production</x:v>
      </x:c>
      <x:c r="F649" s="16" t="str">
        <x:v>Dhaka Head Office</x:v>
      </x:c>
      <x:c r="G649" s="16" t="str">
        <x:v>Contract</x:v>
      </x:c>
      <x:c r="H649" s="35" t="n">
        <x:v>45937</x:v>
      </x:c>
      <x:c r="I649" s="35"/>
      <x:c r="J649" s="16" t="str"/>
      <x:c r="K649" s="16" t="str">
        <x:f>IF(I649="","Active","Exited")</x:f>
        <x:v>Active</x:v>
      </x:c>
      <x:c r="L649" s="16" t="n">
        <x:f>(YEAR(IF(I649="",TODAY(),I649))-YEAR(H649))*12+MONTH(IF(I649="",TODAY(),I649))-MONTH(H649)</x:f>
        <x:v>9</x:v>
      </x:c>
      <x:c r="M649" s="36" t="n">
        <x:f>DATE(YEAR(H649),MONTH(H649),1)</x:f>
        <x:v>45931</x:v>
      </x:c>
      <x:c r="N649" s="36" t="str">
        <x:f>IF(I649="","",DATE(YEAR(I649),MONTH(I649),1))</x:f>
      </x:c>
    </x:row>
    <x:row r="650">
      <x:c r="A650" s="16" t="str">
        <x:v>HG-01649</x:v>
      </x:c>
      <x:c r="B650" s="16" t="str">
        <x:v>Rashed Akter</x:v>
      </x:c>
      <x:c r="C650" s="16" t="str">
        <x:v>Male</x:v>
      </x:c>
      <x:c r="D650" s="16" t="str">
        <x:v>Supply Chain</x:v>
      </x:c>
      <x:c r="E650" s="16" t="str">
        <x:v>Senior Supply Chain Executive</x:v>
      </x:c>
      <x:c r="F650" s="16" t="str">
        <x:v>Narayanganj Plant</x:v>
      </x:c>
      <x:c r="G650" s="16" t="str">
        <x:v>Permanent</x:v>
      </x:c>
      <x:c r="H650" s="35" t="n">
        <x:v>45957</x:v>
      </x:c>
      <x:c r="I650" s="35"/>
      <x:c r="J650" s="16" t="str"/>
      <x:c r="K650" s="16" t="str">
        <x:f>IF(I650="","Active","Exited")</x:f>
        <x:v>Active</x:v>
      </x:c>
      <x:c r="L650" s="16" t="n">
        <x:f>(YEAR(IF(I650="",TODAY(),I650))-YEAR(H650))*12+MONTH(IF(I650="",TODAY(),I650))-MONTH(H650)</x:f>
        <x:v>9</x:v>
      </x:c>
      <x:c r="M650" s="36" t="n">
        <x:f>DATE(YEAR(H650),MONTH(H650),1)</x:f>
        <x:v>45931</x:v>
      </x:c>
      <x:c r="N650" s="36" t="str">
        <x:f>IF(I650="","",DATE(YEAR(I650),MONTH(I650),1))</x:f>
      </x:c>
    </x:row>
    <x:row r="651">
      <x:c r="A651" s="16" t="str">
        <x:v>HG-01650</x:v>
      </x:c>
      <x:c r="B651" s="16" t="str">
        <x:v>Nayeem Akter</x:v>
      </x:c>
      <x:c r="C651" s="16" t="str">
        <x:v>Male</x:v>
      </x:c>
      <x:c r="D651" s="16" t="str">
        <x:v>Finance &amp; Accounts</x:v>
      </x:c>
      <x:c r="E651" s="16" t="str">
        <x:v>Senior Accounts Executive</x:v>
      </x:c>
      <x:c r="F651" s="16" t="str">
        <x:v>Dhaka Head Office</x:v>
      </x:c>
      <x:c r="G651" s="16" t="str">
        <x:v>Probation</x:v>
      </x:c>
      <x:c r="H651" s="35" t="n">
        <x:v>45933</x:v>
      </x:c>
      <x:c r="I651" s="35"/>
      <x:c r="J651" s="16" t="str"/>
      <x:c r="K651" s="16" t="str">
        <x:f>IF(I651="","Active","Exited")</x:f>
        <x:v>Active</x:v>
      </x:c>
      <x:c r="L651" s="16" t="n">
        <x:f>(YEAR(IF(I651="",TODAY(),I651))-YEAR(H651))*12+MONTH(IF(I651="",TODAY(),I651))-MONTH(H651)</x:f>
        <x:v>9</x:v>
      </x:c>
      <x:c r="M651" s="36" t="n">
        <x:f>DATE(YEAR(H651),MONTH(H651),1)</x:f>
        <x:v>45931</x:v>
      </x:c>
      <x:c r="N651" s="36" t="str">
        <x:f>IF(I651="","",DATE(YEAR(I651),MONTH(I651),1))</x:f>
      </x:c>
    </x:row>
    <x:row r="652">
      <x:c r="A652" s="16" t="str">
        <x:v>HG-01651</x:v>
      </x:c>
      <x:c r="B652" s="16" t="str">
        <x:v>Ayesha Uddin</x:v>
      </x:c>
      <x:c r="C652" s="16" t="str">
        <x:v>Female</x:v>
      </x:c>
      <x:c r="D652" s="16" t="str">
        <x:v>Production</x:v>
      </x:c>
      <x:c r="E652" s="16" t="str">
        <x:v>Assistant Manager - Production</x:v>
      </x:c>
      <x:c r="F652" s="16" t="str">
        <x:v>Gazipur Plant</x:v>
      </x:c>
      <x:c r="G652" s="16" t="str">
        <x:v>Permanent</x:v>
      </x:c>
      <x:c r="H652" s="35" t="n">
        <x:v>45958</x:v>
      </x:c>
      <x:c r="I652" s="35" t="n">
        <x:v>45998</x:v>
      </x:c>
      <x:c r="J652" s="16" t="str">
        <x:v>Compensation &amp; Benefits</x:v>
      </x:c>
      <x:c r="K652" s="16" t="str">
        <x:f>IF(I652="","Active","Exited")</x:f>
        <x:v>Exited</x:v>
      </x:c>
      <x:c r="L652" s="16" t="n">
        <x:f>(YEAR(IF(I652="",TODAY(),I652))-YEAR(H652))*12+MONTH(IF(I652="",TODAY(),I652))-MONTH(H652)</x:f>
        <x:v>2</x:v>
      </x:c>
      <x:c r="M652" s="36" t="n">
        <x:f>DATE(YEAR(H652),MONTH(H652),1)</x:f>
        <x:v>45931</x:v>
      </x:c>
      <x:c r="N652" s="36" t="n">
        <x:f>IF(I652="","",DATE(YEAR(I652),MONTH(I652),1))</x:f>
        <x:v>45992</x:v>
      </x:c>
    </x:row>
    <x:row r="653">
      <x:c r="A653" s="16" t="str">
        <x:v>HG-01652</x:v>
      </x:c>
      <x:c r="B653" s="16" t="str">
        <x:v>Rakib Khan</x:v>
      </x:c>
      <x:c r="C653" s="16" t="str">
        <x:v>Male</x:v>
      </x:c>
      <x:c r="D653" s="16" t="str">
        <x:v>Supply Chain</x:v>
      </x:c>
      <x:c r="E653" s="16" t="str">
        <x:v>Assistant Manager - Supply Chain</x:v>
      </x:c>
      <x:c r="F653" s="16" t="str">
        <x:v>Narayanganj Plant</x:v>
      </x:c>
      <x:c r="G653" s="16" t="str">
        <x:v>Permanent</x:v>
      </x:c>
      <x:c r="H653" s="35" t="n">
        <x:v>45945</x:v>
      </x:c>
      <x:c r="I653" s="35"/>
      <x:c r="J653" s="16" t="str"/>
      <x:c r="K653" s="16" t="str">
        <x:f>IF(I653="","Active","Exited")</x:f>
        <x:v>Active</x:v>
      </x:c>
      <x:c r="L653" s="16" t="n">
        <x:f>(YEAR(IF(I653="",TODAY(),I653))-YEAR(H653))*12+MONTH(IF(I653="",TODAY(),I653))-MONTH(H653)</x:f>
        <x:v>9</x:v>
      </x:c>
      <x:c r="M653" s="36" t="n">
        <x:f>DATE(YEAR(H653),MONTH(H653),1)</x:f>
        <x:v>45931</x:v>
      </x:c>
      <x:c r="N653" s="36" t="str">
        <x:f>IF(I653="","",DATE(YEAR(I653),MONTH(I653),1))</x:f>
      </x:c>
    </x:row>
    <x:row r="654">
      <x:c r="A654" s="16" t="str">
        <x:v>HG-01653</x:v>
      </x:c>
      <x:c r="B654" s="16" t="str">
        <x:v>Asif Miah</x:v>
      </x:c>
      <x:c r="C654" s="16" t="str">
        <x:v>Male</x:v>
      </x:c>
      <x:c r="D654" s="16" t="str">
        <x:v>Information Technology</x:v>
      </x:c>
      <x:c r="E654" s="16" t="str">
        <x:v>IT Support Executive</x:v>
      </x:c>
      <x:c r="F654" s="16" t="str">
        <x:v>Chattogram Office</x:v>
      </x:c>
      <x:c r="G654" s="16" t="str">
        <x:v>Probation</x:v>
      </x:c>
      <x:c r="H654" s="35" t="n">
        <x:v>45967</x:v>
      </x:c>
      <x:c r="I654" s="35"/>
      <x:c r="J654" s="16" t="str"/>
      <x:c r="K654" s="16" t="str">
        <x:f>IF(I654="","Active","Exited")</x:f>
        <x:v>Active</x:v>
      </x:c>
      <x:c r="L654" s="16" t="n">
        <x:f>(YEAR(IF(I654="",TODAY(),I654))-YEAR(H654))*12+MONTH(IF(I654="",TODAY(),I654))-MONTH(H654)</x:f>
        <x:v>8</x:v>
      </x:c>
      <x:c r="M654" s="36" t="n">
        <x:f>DATE(YEAR(H654),MONTH(H654),1)</x:f>
        <x:v>45962</x:v>
      </x:c>
      <x:c r="N654" s="36" t="str">
        <x:f>IF(I654="","",DATE(YEAR(I654),MONTH(I654),1))</x:f>
      </x:c>
    </x:row>
    <x:row r="655">
      <x:c r="A655" s="16" t="str">
        <x:v>HG-01654</x:v>
      </x:c>
      <x:c r="B655" s="16" t="str">
        <x:v>Shakil Hossain</x:v>
      </x:c>
      <x:c r="C655" s="16" t="str">
        <x:v>Male</x:v>
      </x:c>
      <x:c r="D655" s="16" t="str">
        <x:v>Production</x:v>
      </x:c>
      <x:c r="E655" s="16" t="str">
        <x:v>Line Supervisor</x:v>
      </x:c>
      <x:c r="F655" s="16" t="str">
        <x:v>Gazipur Plant</x:v>
      </x:c>
      <x:c r="G655" s="16" t="str">
        <x:v>Permanent</x:v>
      </x:c>
      <x:c r="H655" s="35" t="n">
        <x:v>45986</x:v>
      </x:c>
      <x:c r="I655" s="35"/>
      <x:c r="J655" s="16" t="str"/>
      <x:c r="K655" s="16" t="str">
        <x:f>IF(I655="","Active","Exited")</x:f>
        <x:v>Active</x:v>
      </x:c>
      <x:c r="L655" s="16" t="n">
        <x:f>(YEAR(IF(I655="",TODAY(),I655))-YEAR(H655))*12+MONTH(IF(I655="",TODAY(),I655))-MONTH(H655)</x:f>
        <x:v>8</x:v>
      </x:c>
      <x:c r="M655" s="36" t="n">
        <x:f>DATE(YEAR(H655),MONTH(H655),1)</x:f>
        <x:v>45962</x:v>
      </x:c>
      <x:c r="N655" s="36" t="str">
        <x:f>IF(I655="","",DATE(YEAR(I655),MONTH(I655),1))</x:f>
      </x:c>
    </x:row>
    <x:row r="656">
      <x:c r="A656" s="16" t="str">
        <x:v>HG-01655</x:v>
      </x:c>
      <x:c r="B656" s="16" t="str">
        <x:v>Rakib Kabir</x:v>
      </x:c>
      <x:c r="C656" s="16" t="str">
        <x:v>Male</x:v>
      </x:c>
      <x:c r="D656" s="16" t="str">
        <x:v>Administration</x:v>
      </x:c>
      <x:c r="E656" s="16" t="str">
        <x:v>Facility Officer</x:v>
      </x:c>
      <x:c r="F656" s="16" t="str">
        <x:v>Dhaka Head Office</x:v>
      </x:c>
      <x:c r="G656" s="16" t="str">
        <x:v>Permanent</x:v>
      </x:c>
      <x:c r="H656" s="35" t="n">
        <x:v>45974</x:v>
      </x:c>
      <x:c r="I656" s="35" t="n">
        <x:v>46118</x:v>
      </x:c>
      <x:c r="J656" s="16" t="str">
        <x:v>Personal / Family</x:v>
      </x:c>
      <x:c r="K656" s="16" t="str">
        <x:f>IF(I656="","Active","Exited")</x:f>
        <x:v>Exited</x:v>
      </x:c>
      <x:c r="L656" s="16" t="n">
        <x:f>(YEAR(IF(I656="",TODAY(),I656))-YEAR(H656))*12+MONTH(IF(I656="",TODAY(),I656))-MONTH(H656)</x:f>
        <x:v>5</x:v>
      </x:c>
      <x:c r="M656" s="36" t="n">
        <x:f>DATE(YEAR(H656),MONTH(H656),1)</x:f>
        <x:v>45962</x:v>
      </x:c>
      <x:c r="N656" s="36" t="n">
        <x:f>IF(I656="","",DATE(YEAR(I656),MONTH(I656),1))</x:f>
        <x:v>46113</x:v>
      </x:c>
    </x:row>
    <x:row r="657">
      <x:c r="A657" s="16" t="str">
        <x:v>HG-01656</x:v>
      </x:c>
      <x:c r="B657" s="16" t="str">
        <x:v>Rafi Islam</x:v>
      </x:c>
      <x:c r="C657" s="16" t="str">
        <x:v>Male</x:v>
      </x:c>
      <x:c r="D657" s="16" t="str">
        <x:v>Information Technology</x:v>
      </x:c>
      <x:c r="E657" s="16" t="str">
        <x:v>Assistant Manager - IT</x:v>
      </x:c>
      <x:c r="F657" s="16" t="str">
        <x:v>Dhaka Head Office</x:v>
      </x:c>
      <x:c r="G657" s="16" t="str">
        <x:v>Contract</x:v>
      </x:c>
      <x:c r="H657" s="35" t="n">
        <x:v>45964</x:v>
      </x:c>
      <x:c r="I657" s="35"/>
      <x:c r="J657" s="16" t="str"/>
      <x:c r="K657" s="16" t="str">
        <x:f>IF(I657="","Active","Exited")</x:f>
        <x:v>Active</x:v>
      </x:c>
      <x:c r="L657" s="16" t="n">
        <x:f>(YEAR(IF(I657="",TODAY(),I657))-YEAR(H657))*12+MONTH(IF(I657="",TODAY(),I657))-MONTH(H657)</x:f>
        <x:v>8</x:v>
      </x:c>
      <x:c r="M657" s="36" t="n">
        <x:f>DATE(YEAR(H657),MONTH(H657),1)</x:f>
        <x:v>45962</x:v>
      </x:c>
      <x:c r="N657" s="36" t="str">
        <x:f>IF(I657="","",DATE(YEAR(I657),MONTH(I657),1))</x:f>
      </x:c>
    </x:row>
    <x:row r="658">
      <x:c r="A658" s="16" t="str">
        <x:v>HG-01657</x:v>
      </x:c>
      <x:c r="B658" s="16" t="str">
        <x:v>Nabila Sarker</x:v>
      </x:c>
      <x:c r="C658" s="16" t="str">
        <x:v>Female</x:v>
      </x:c>
      <x:c r="D658" s="16" t="str">
        <x:v>Quality Assurance</x:v>
      </x:c>
      <x:c r="E658" s="16" t="str">
        <x:v>Assistant Manager - QA</x:v>
      </x:c>
      <x:c r="F658" s="16" t="str">
        <x:v>Gazipur Plant</x:v>
      </x:c>
      <x:c r="G658" s="16" t="str">
        <x:v>Permanent</x:v>
      </x:c>
      <x:c r="H658" s="35" t="n">
        <x:v>45963</x:v>
      </x:c>
      <x:c r="I658" s="35"/>
      <x:c r="J658" s="16" t="str"/>
      <x:c r="K658" s="16" t="str">
        <x:f>IF(I658="","Active","Exited")</x:f>
        <x:v>Active</x:v>
      </x:c>
      <x:c r="L658" s="16" t="n">
        <x:f>(YEAR(IF(I658="",TODAY(),I658))-YEAR(H658))*12+MONTH(IF(I658="",TODAY(),I658))-MONTH(H658)</x:f>
        <x:v>8</x:v>
      </x:c>
      <x:c r="M658" s="36" t="n">
        <x:f>DATE(YEAR(H658),MONTH(H658),1)</x:f>
        <x:v>45962</x:v>
      </x:c>
      <x:c r="N658" s="36" t="str">
        <x:f>IF(I658="","",DATE(YEAR(I658),MONTH(I658),1))</x:f>
      </x:c>
    </x:row>
    <x:row r="659">
      <x:c r="A659" s="16" t="str">
        <x:v>HG-01658</x:v>
      </x:c>
      <x:c r="B659" s="16" t="str">
        <x:v>Sharmin Hasan</x:v>
      </x:c>
      <x:c r="C659" s="16" t="str">
        <x:v>Female</x:v>
      </x:c>
      <x:c r="D659" s="16" t="str">
        <x:v>Production</x:v>
      </x:c>
      <x:c r="E659" s="16" t="str">
        <x:v>Assistant Manager - Production</x:v>
      </x:c>
      <x:c r="F659" s="16" t="str">
        <x:v>Narayanganj Plant</x:v>
      </x:c>
      <x:c r="G659" s="16" t="str">
        <x:v>Permanent</x:v>
      </x:c>
      <x:c r="H659" s="35" t="n">
        <x:v>45990</x:v>
      </x:c>
      <x:c r="I659" s="35"/>
      <x:c r="J659" s="16" t="str"/>
      <x:c r="K659" s="16" t="str">
        <x:f>IF(I659="","Active","Exited")</x:f>
        <x:v>Active</x:v>
      </x:c>
      <x:c r="L659" s="16" t="n">
        <x:f>(YEAR(IF(I659="",TODAY(),I659))-YEAR(H659))*12+MONTH(IF(I659="",TODAY(),I659))-MONTH(H659)</x:f>
        <x:v>8</x:v>
      </x:c>
      <x:c r="M659" s="36" t="n">
        <x:f>DATE(YEAR(H659),MONTH(H659),1)</x:f>
        <x:v>45962</x:v>
      </x:c>
      <x:c r="N659" s="36" t="str">
        <x:f>IF(I659="","",DATE(YEAR(I659),MONTH(I659),1))</x:f>
      </x:c>
    </x:row>
    <x:row r="660">
      <x:c r="A660" s="16" t="str">
        <x:v>HG-01659</x:v>
      </x:c>
      <x:c r="B660" s="16" t="str">
        <x:v>Tanvir Hossain</x:v>
      </x:c>
      <x:c r="C660" s="16" t="str">
        <x:v>Male</x:v>
      </x:c>
      <x:c r="D660" s="16" t="str">
        <x:v>Quality Assurance</x:v>
      </x:c>
      <x:c r="E660" s="16" t="str">
        <x:v>Quality Inspector</x:v>
      </x:c>
      <x:c r="F660" s="16" t="str">
        <x:v>Gazipur Plant</x:v>
      </x:c>
      <x:c r="G660" s="16" t="str">
        <x:v>Permanent</x:v>
      </x:c>
      <x:c r="H660" s="35" t="n">
        <x:v>45967</x:v>
      </x:c>
      <x:c r="I660" s="35"/>
      <x:c r="J660" s="16" t="str"/>
      <x:c r="K660" s="16" t="str">
        <x:f>IF(I660="","Active","Exited")</x:f>
        <x:v>Active</x:v>
      </x:c>
      <x:c r="L660" s="16" t="n">
        <x:f>(YEAR(IF(I660="",TODAY(),I660))-YEAR(H660))*12+MONTH(IF(I660="",TODAY(),I660))-MONTH(H660)</x:f>
        <x:v>8</x:v>
      </x:c>
      <x:c r="M660" s="36" t="n">
        <x:f>DATE(YEAR(H660),MONTH(H660),1)</x:f>
        <x:v>45962</x:v>
      </x:c>
      <x:c r="N660" s="36" t="str">
        <x:f>IF(I660="","",DATE(YEAR(I660),MONTH(I660),1))</x:f>
      </x:c>
    </x:row>
    <x:row r="661">
      <x:c r="A661" s="16" t="str">
        <x:v>HG-01660</x:v>
      </x:c>
      <x:c r="B661" s="16" t="str">
        <x:v>Sabbir Miah</x:v>
      </x:c>
      <x:c r="C661" s="16" t="str">
        <x:v>Male</x:v>
      </x:c>
      <x:c r="D661" s="16" t="str">
        <x:v>Production</x:v>
      </x:c>
      <x:c r="E661" s="16" t="str">
        <x:v>Production Operator</x:v>
      </x:c>
      <x:c r="F661" s="16" t="str">
        <x:v>Narayanganj Plant</x:v>
      </x:c>
      <x:c r="G661" s="16" t="str">
        <x:v>Contract</x:v>
      </x:c>
      <x:c r="H661" s="35" t="n">
        <x:v>45983</x:v>
      </x:c>
      <x:c r="I661" s="35"/>
      <x:c r="J661" s="16" t="str"/>
      <x:c r="K661" s="16" t="str">
        <x:f>IF(I661="","Active","Exited")</x:f>
        <x:v>Active</x:v>
      </x:c>
      <x:c r="L661" s="16" t="n">
        <x:f>(YEAR(IF(I661="",TODAY(),I661))-YEAR(H661))*12+MONTH(IF(I661="",TODAY(),I661))-MONTH(H661)</x:f>
        <x:v>8</x:v>
      </x:c>
      <x:c r="M661" s="36" t="n">
        <x:f>DATE(YEAR(H661),MONTH(H661),1)</x:f>
        <x:v>45962</x:v>
      </x:c>
      <x:c r="N661" s="36" t="str">
        <x:f>IF(I661="","",DATE(YEAR(I661),MONTH(I661),1))</x:f>
      </x:c>
    </x:row>
    <x:row r="662">
      <x:c r="A662" s="16" t="str">
        <x:v>HG-01661</x:v>
      </x:c>
      <x:c r="B662" s="16" t="str">
        <x:v>Nabila Alam</x:v>
      </x:c>
      <x:c r="C662" s="16" t="str">
        <x:v>Female</x:v>
      </x:c>
      <x:c r="D662" s="16" t="str">
        <x:v>Sales &amp; Marketing</x:v>
      </x:c>
      <x:c r="E662" s="16" t="str">
        <x:v>Assistant Manager - Sales</x:v>
      </x:c>
      <x:c r="F662" s="16" t="str">
        <x:v>Dhaka Head Office</x:v>
      </x:c>
      <x:c r="G662" s="16" t="str">
        <x:v>Contract</x:v>
      </x:c>
      <x:c r="H662" s="35" t="n">
        <x:v>45989</x:v>
      </x:c>
      <x:c r="I662" s="35"/>
      <x:c r="J662" s="16" t="str"/>
      <x:c r="K662" s="16" t="str">
        <x:f>IF(I662="","Active","Exited")</x:f>
        <x:v>Active</x:v>
      </x:c>
      <x:c r="L662" s="16" t="n">
        <x:f>(YEAR(IF(I662="",TODAY(),I662))-YEAR(H662))*12+MONTH(IF(I662="",TODAY(),I662))-MONTH(H662)</x:f>
        <x:v>8</x:v>
      </x:c>
      <x:c r="M662" s="36" t="n">
        <x:f>DATE(YEAR(H662),MONTH(H662),1)</x:f>
        <x:v>45962</x:v>
      </x:c>
      <x:c r="N662" s="36" t="str">
        <x:f>IF(I662="","",DATE(YEAR(I662),MONTH(I662),1))</x:f>
      </x:c>
    </x:row>
    <x:row r="663">
      <x:c r="A663" s="16" t="str">
        <x:v>HG-01662</x:v>
      </x:c>
      <x:c r="B663" s="16" t="str">
        <x:v>Nabila Alam</x:v>
      </x:c>
      <x:c r="C663" s="16" t="str">
        <x:v>Female</x:v>
      </x:c>
      <x:c r="D663" s="16" t="str">
        <x:v>Supply Chain</x:v>
      </x:c>
      <x:c r="E663" s="16" t="str">
        <x:v>Logistics Executive</x:v>
      </x:c>
      <x:c r="F663" s="16" t="str">
        <x:v>Narayanganj Plant</x:v>
      </x:c>
      <x:c r="G663" s="16" t="str">
        <x:v>Permanent</x:v>
      </x:c>
      <x:c r="H663" s="35" t="n">
        <x:v>45969</x:v>
      </x:c>
      <x:c r="I663" s="35"/>
      <x:c r="J663" s="16" t="str"/>
      <x:c r="K663" s="16" t="str">
        <x:f>IF(I663="","Active","Exited")</x:f>
        <x:v>Active</x:v>
      </x:c>
      <x:c r="L663" s="16" t="n">
        <x:f>(YEAR(IF(I663="",TODAY(),I663))-YEAR(H663))*12+MONTH(IF(I663="",TODAY(),I663))-MONTH(H663)</x:f>
        <x:v>8</x:v>
      </x:c>
      <x:c r="M663" s="36" t="n">
        <x:f>DATE(YEAR(H663),MONTH(H663),1)</x:f>
        <x:v>45962</x:v>
      </x:c>
      <x:c r="N663" s="36" t="str">
        <x:f>IF(I663="","",DATE(YEAR(I663),MONTH(I663),1))</x:f>
      </x:c>
    </x:row>
    <x:row r="664">
      <x:c r="A664" s="16" t="str">
        <x:v>HG-01663</x:v>
      </x:c>
      <x:c r="B664" s="16" t="str">
        <x:v>Sabbir Kabir</x:v>
      </x:c>
      <x:c r="C664" s="16" t="str">
        <x:v>Male</x:v>
      </x:c>
      <x:c r="D664" s="16" t="str">
        <x:v>Production</x:v>
      </x:c>
      <x:c r="E664" s="16" t="str">
        <x:v>Line Supervisor</x:v>
      </x:c>
      <x:c r="F664" s="16" t="str">
        <x:v>Gazipur Plant</x:v>
      </x:c>
      <x:c r="G664" s="16" t="str">
        <x:v>Permanent</x:v>
      </x:c>
      <x:c r="H664" s="35" t="n">
        <x:v>45968</x:v>
      </x:c>
      <x:c r="I664" s="35"/>
      <x:c r="J664" s="16" t="str"/>
      <x:c r="K664" s="16" t="str">
        <x:f>IF(I664="","Active","Exited")</x:f>
        <x:v>Active</x:v>
      </x:c>
      <x:c r="L664" s="16" t="n">
        <x:f>(YEAR(IF(I664="",TODAY(),I664))-YEAR(H664))*12+MONTH(IF(I664="",TODAY(),I664))-MONTH(H664)</x:f>
        <x:v>8</x:v>
      </x:c>
      <x:c r="M664" s="36" t="n">
        <x:f>DATE(YEAR(H664),MONTH(H664),1)</x:f>
        <x:v>45962</x:v>
      </x:c>
      <x:c r="N664" s="36" t="str">
        <x:f>IF(I664="","",DATE(YEAR(I664),MONTH(I664),1))</x:f>
      </x:c>
    </x:row>
    <x:row r="665">
      <x:c r="A665" s="16" t="str">
        <x:v>HG-01664</x:v>
      </x:c>
      <x:c r="B665" s="16" t="str">
        <x:v>Mizan Hasan</x:v>
      </x:c>
      <x:c r="C665" s="16" t="str">
        <x:v>Male</x:v>
      </x:c>
      <x:c r="D665" s="16" t="str">
        <x:v>Sales &amp; Marketing</x:v>
      </x:c>
      <x:c r="E665" s="16" t="str">
        <x:v>Key Account Executive</x:v>
      </x:c>
      <x:c r="F665" s="16" t="str">
        <x:v>Dhaka Head Office</x:v>
      </x:c>
      <x:c r="G665" s="16" t="str">
        <x:v>Permanent</x:v>
      </x:c>
      <x:c r="H665" s="35" t="n">
        <x:v>45977</x:v>
      </x:c>
      <x:c r="I665" s="35"/>
      <x:c r="J665" s="16" t="str"/>
      <x:c r="K665" s="16" t="str">
        <x:f>IF(I665="","Active","Exited")</x:f>
        <x:v>Active</x:v>
      </x:c>
      <x:c r="L665" s="16" t="n">
        <x:f>(YEAR(IF(I665="",TODAY(),I665))-YEAR(H665))*12+MONTH(IF(I665="",TODAY(),I665))-MONTH(H665)</x:f>
        <x:v>8</x:v>
      </x:c>
      <x:c r="M665" s="36" t="n">
        <x:f>DATE(YEAR(H665),MONTH(H665),1)</x:f>
        <x:v>45962</x:v>
      </x:c>
      <x:c r="N665" s="36" t="str">
        <x:f>IF(I665="","",DATE(YEAR(I665),MONTH(I665),1))</x:f>
      </x:c>
    </x:row>
    <x:row r="666">
      <x:c r="A666" s="16" t="str">
        <x:v>HG-01665</x:v>
      </x:c>
      <x:c r="B666" s="16" t="str">
        <x:v>Rafi Rahman</x:v>
      </x:c>
      <x:c r="C666" s="16" t="str">
        <x:v>Male</x:v>
      </x:c>
      <x:c r="D666" s="16" t="str">
        <x:v>Production</x:v>
      </x:c>
      <x:c r="E666" s="16" t="str">
        <x:v>Senior Operator</x:v>
      </x:c>
      <x:c r="F666" s="16" t="str">
        <x:v>Gazipur Plant</x:v>
      </x:c>
      <x:c r="G666" s="16" t="str">
        <x:v>Permanent</x:v>
      </x:c>
      <x:c r="H666" s="35" t="n">
        <x:v>45990</x:v>
      </x:c>
      <x:c r="I666" s="35"/>
      <x:c r="J666" s="16" t="str"/>
      <x:c r="K666" s="16" t="str">
        <x:f>IF(I666="","Active","Exited")</x:f>
        <x:v>Active</x:v>
      </x:c>
      <x:c r="L666" s="16" t="n">
        <x:f>(YEAR(IF(I666="",TODAY(),I666))-YEAR(H666))*12+MONTH(IF(I666="",TODAY(),I666))-MONTH(H666)</x:f>
        <x:v>8</x:v>
      </x:c>
      <x:c r="M666" s="36" t="n">
        <x:f>DATE(YEAR(H666),MONTH(H666),1)</x:f>
        <x:v>45962</x:v>
      </x:c>
      <x:c r="N666" s="36" t="str">
        <x:f>IF(I666="","",DATE(YEAR(I666),MONTH(I666),1))</x:f>
      </x:c>
    </x:row>
    <x:row r="667">
      <x:c r="A667" s="16" t="str">
        <x:v>HG-01666</x:v>
      </x:c>
      <x:c r="B667" s="16" t="str">
        <x:v>Ayesha Islam</x:v>
      </x:c>
      <x:c r="C667" s="16" t="str">
        <x:v>Female</x:v>
      </x:c>
      <x:c r="D667" s="16" t="str">
        <x:v>Production</x:v>
      </x:c>
      <x:c r="E667" s="16" t="str">
        <x:v>Production Officer</x:v>
      </x:c>
      <x:c r="F667" s="16" t="str">
        <x:v>Gazipur Plant</x:v>
      </x:c>
      <x:c r="G667" s="16" t="str">
        <x:v>Permanent</x:v>
      </x:c>
      <x:c r="H667" s="35" t="n">
        <x:v>45986</x:v>
      </x:c>
      <x:c r="I667" s="35"/>
      <x:c r="J667" s="16" t="str"/>
      <x:c r="K667" s="16" t="str">
        <x:f>IF(I667="","Active","Exited")</x:f>
        <x:v>Active</x:v>
      </x:c>
      <x:c r="L667" s="16" t="n">
        <x:f>(YEAR(IF(I667="",TODAY(),I667))-YEAR(H667))*12+MONTH(IF(I667="",TODAY(),I667))-MONTH(H667)</x:f>
        <x:v>8</x:v>
      </x:c>
      <x:c r="M667" s="36" t="n">
        <x:f>DATE(YEAR(H667),MONTH(H667),1)</x:f>
        <x:v>45962</x:v>
      </x:c>
      <x:c r="N667" s="36" t="str">
        <x:f>IF(I667="","",DATE(YEAR(I667),MONTH(I667),1))</x:f>
      </x:c>
    </x:row>
    <x:row r="668">
      <x:c r="A668" s="16" t="str">
        <x:v>HG-01667</x:v>
      </x:c>
      <x:c r="B668" s="16" t="str">
        <x:v>Nabila Islam</x:v>
      </x:c>
      <x:c r="C668" s="16" t="str">
        <x:v>Female</x:v>
      </x:c>
      <x:c r="D668" s="16" t="str">
        <x:v>Finance &amp; Accounts</x:v>
      </x:c>
      <x:c r="E668" s="16" t="str">
        <x:v>Senior Accounts Executive</x:v>
      </x:c>
      <x:c r="F668" s="16" t="str">
        <x:v>Dhaka Head Office</x:v>
      </x:c>
      <x:c r="G668" s="16" t="str">
        <x:v>Permanent</x:v>
      </x:c>
      <x:c r="H668" s="35" t="n">
        <x:v>45988</x:v>
      </x:c>
      <x:c r="I668" s="35"/>
      <x:c r="J668" s="16" t="str"/>
      <x:c r="K668" s="16" t="str">
        <x:f>IF(I668="","Active","Exited")</x:f>
        <x:v>Active</x:v>
      </x:c>
      <x:c r="L668" s="16" t="n">
        <x:f>(YEAR(IF(I668="",TODAY(),I668))-YEAR(H668))*12+MONTH(IF(I668="",TODAY(),I668))-MONTH(H668)</x:f>
        <x:v>8</x:v>
      </x:c>
      <x:c r="M668" s="36" t="n">
        <x:f>DATE(YEAR(H668),MONTH(H668),1)</x:f>
        <x:v>45962</x:v>
      </x:c>
      <x:c r="N668" s="36" t="str">
        <x:f>IF(I668="","",DATE(YEAR(I668),MONTH(I668),1))</x:f>
      </x:c>
    </x:row>
    <x:row r="669">
      <x:c r="A669" s="16" t="str">
        <x:v>HG-01668</x:v>
      </x:c>
      <x:c r="B669" s="16" t="str">
        <x:v>Raisa Ahmed</x:v>
      </x:c>
      <x:c r="C669" s="16" t="str">
        <x:v>Female</x:v>
      </x:c>
      <x:c r="D669" s="16" t="str">
        <x:v>Supply Chain</x:v>
      </x:c>
      <x:c r="E669" s="16" t="str">
        <x:v>Senior Supply Chain Executive</x:v>
      </x:c>
      <x:c r="F669" s="16" t="str">
        <x:v>Gazipur Plant</x:v>
      </x:c>
      <x:c r="G669" s="16" t="str">
        <x:v>Probation</x:v>
      </x:c>
      <x:c r="H669" s="35" t="n">
        <x:v>45962</x:v>
      </x:c>
      <x:c r="I669" s="35"/>
      <x:c r="J669" s="16" t="str"/>
      <x:c r="K669" s="16" t="str">
        <x:f>IF(I669="","Active","Exited")</x:f>
        <x:v>Active</x:v>
      </x:c>
      <x:c r="L669" s="16" t="n">
        <x:f>(YEAR(IF(I669="",TODAY(),I669))-YEAR(H669))*12+MONTH(IF(I669="",TODAY(),I669))-MONTH(H669)</x:f>
        <x:v>8</x:v>
      </x:c>
      <x:c r="M669" s="36" t="n">
        <x:f>DATE(YEAR(H669),MONTH(H669),1)</x:f>
        <x:v>45962</x:v>
      </x:c>
      <x:c r="N669" s="36" t="str">
        <x:f>IF(I669="","",DATE(YEAR(I669),MONTH(I669),1))</x:f>
      </x:c>
    </x:row>
    <x:row r="670">
      <x:c r="A670" s="16" t="str">
        <x:v>HG-01669</x:v>
      </x:c>
      <x:c r="B670" s="16" t="str">
        <x:v>Nazmul Miah</x:v>
      </x:c>
      <x:c r="C670" s="16" t="str">
        <x:v>Male</x:v>
      </x:c>
      <x:c r="D670" s="16" t="str">
        <x:v>Production</x:v>
      </x:c>
      <x:c r="E670" s="16" t="str">
        <x:v>Production Operator</x:v>
      </x:c>
      <x:c r="F670" s="16" t="str">
        <x:v>Gazipur Plant</x:v>
      </x:c>
      <x:c r="G670" s="16" t="str">
        <x:v>Contract</x:v>
      </x:c>
      <x:c r="H670" s="35" t="n">
        <x:v>45962</x:v>
      </x:c>
      <x:c r="I670" s="35"/>
      <x:c r="J670" s="16" t="str"/>
      <x:c r="K670" s="16" t="str">
        <x:f>IF(I670="","Active","Exited")</x:f>
        <x:v>Active</x:v>
      </x:c>
      <x:c r="L670" s="16" t="n">
        <x:f>(YEAR(IF(I670="",TODAY(),I670))-YEAR(H670))*12+MONTH(IF(I670="",TODAY(),I670))-MONTH(H670)</x:f>
        <x:v>8</x:v>
      </x:c>
      <x:c r="M670" s="36" t="n">
        <x:f>DATE(YEAR(H670),MONTH(H670),1)</x:f>
        <x:v>45962</x:v>
      </x:c>
      <x:c r="N670" s="36" t="str">
        <x:f>IF(I670="","",DATE(YEAR(I670),MONTH(I670),1))</x:f>
      </x:c>
    </x:row>
    <x:row r="671">
      <x:c r="A671" s="16" t="str">
        <x:v>HG-01670</x:v>
      </x:c>
      <x:c r="B671" s="16" t="str">
        <x:v>Foysal Hossain</x:v>
      </x:c>
      <x:c r="C671" s="16" t="str">
        <x:v>Male</x:v>
      </x:c>
      <x:c r="D671" s="16" t="str">
        <x:v>Production</x:v>
      </x:c>
      <x:c r="E671" s="16" t="str">
        <x:v>Senior Operator</x:v>
      </x:c>
      <x:c r="F671" s="16" t="str">
        <x:v>Gazipur Plant</x:v>
      </x:c>
      <x:c r="G671" s="16" t="str">
        <x:v>Contract</x:v>
      </x:c>
      <x:c r="H671" s="35" t="n">
        <x:v>45964</x:v>
      </x:c>
      <x:c r="I671" s="35"/>
      <x:c r="J671" s="16" t="str"/>
      <x:c r="K671" s="16" t="str">
        <x:f>IF(I671="","Active","Exited")</x:f>
        <x:v>Active</x:v>
      </x:c>
      <x:c r="L671" s="16" t="n">
        <x:f>(YEAR(IF(I671="",TODAY(),I671))-YEAR(H671))*12+MONTH(IF(I671="",TODAY(),I671))-MONTH(H671)</x:f>
        <x:v>8</x:v>
      </x:c>
      <x:c r="M671" s="36" t="n">
        <x:f>DATE(YEAR(H671),MONTH(H671),1)</x:f>
        <x:v>45962</x:v>
      </x:c>
      <x:c r="N671" s="36" t="str">
        <x:f>IF(I671="","",DATE(YEAR(I671),MONTH(I671),1))</x:f>
      </x:c>
    </x:row>
    <x:row r="672">
      <x:c r="A672" s="16" t="str">
        <x:v>HG-01671</x:v>
      </x:c>
      <x:c r="B672" s="16" t="str">
        <x:v>Mahmud Begum</x:v>
      </x:c>
      <x:c r="C672" s="16" t="str">
        <x:v>Male</x:v>
      </x:c>
      <x:c r="D672" s="16" t="str">
        <x:v>Production</x:v>
      </x:c>
      <x:c r="E672" s="16" t="str">
        <x:v>Production Operator</x:v>
      </x:c>
      <x:c r="F672" s="16" t="str">
        <x:v>Gazipur Plant</x:v>
      </x:c>
      <x:c r="G672" s="16" t="str">
        <x:v>Permanent</x:v>
      </x:c>
      <x:c r="H672" s="35" t="n">
        <x:v>45964</x:v>
      </x:c>
      <x:c r="I672" s="35"/>
      <x:c r="J672" s="16" t="str"/>
      <x:c r="K672" s="16" t="str">
        <x:f>IF(I672="","Active","Exited")</x:f>
        <x:v>Active</x:v>
      </x:c>
      <x:c r="L672" s="16" t="n">
        <x:f>(YEAR(IF(I672="",TODAY(),I672))-YEAR(H672))*12+MONTH(IF(I672="",TODAY(),I672))-MONTH(H672)</x:f>
        <x:v>8</x:v>
      </x:c>
      <x:c r="M672" s="36" t="n">
        <x:f>DATE(YEAR(H672),MONTH(H672),1)</x:f>
        <x:v>45962</x:v>
      </x:c>
      <x:c r="N672" s="36" t="str">
        <x:f>IF(I672="","",DATE(YEAR(I672),MONTH(I672),1))</x:f>
      </x:c>
    </x:row>
    <x:row r="673">
      <x:c r="A673" s="16" t="str">
        <x:v>HG-01672</x:v>
      </x:c>
      <x:c r="B673" s="16" t="str">
        <x:v>Ayesha Ahmed</x:v>
      </x:c>
      <x:c r="C673" s="16" t="str">
        <x:v>Female</x:v>
      </x:c>
      <x:c r="D673" s="16" t="str">
        <x:v>Production</x:v>
      </x:c>
      <x:c r="E673" s="16" t="str">
        <x:v>Senior Operator</x:v>
      </x:c>
      <x:c r="F673" s="16" t="str">
        <x:v>Narayanganj Plant</x:v>
      </x:c>
      <x:c r="G673" s="16" t="str">
        <x:v>Permanent</x:v>
      </x:c>
      <x:c r="H673" s="35" t="n">
        <x:v>45982</x:v>
      </x:c>
      <x:c r="I673" s="35"/>
      <x:c r="J673" s="16" t="str"/>
      <x:c r="K673" s="16" t="str">
        <x:f>IF(I673="","Active","Exited")</x:f>
        <x:v>Active</x:v>
      </x:c>
      <x:c r="L673" s="16" t="n">
        <x:f>(YEAR(IF(I673="",TODAY(),I673))-YEAR(H673))*12+MONTH(IF(I673="",TODAY(),I673))-MONTH(H673)</x:f>
        <x:v>8</x:v>
      </x:c>
      <x:c r="M673" s="36" t="n">
        <x:f>DATE(YEAR(H673),MONTH(H673),1)</x:f>
        <x:v>45962</x:v>
      </x:c>
      <x:c r="N673" s="36" t="str">
        <x:f>IF(I673="","",DATE(YEAR(I673),MONTH(I673),1))</x:f>
      </x:c>
    </x:row>
    <x:row r="674">
      <x:c r="A674" s="16" t="str">
        <x:v>HG-01673</x:v>
      </x:c>
      <x:c r="B674" s="16" t="str">
        <x:v>Nusrat Uddin</x:v>
      </x:c>
      <x:c r="C674" s="16" t="str">
        <x:v>Female</x:v>
      </x:c>
      <x:c r="D674" s="16" t="str">
        <x:v>Supply Chain</x:v>
      </x:c>
      <x:c r="E674" s="16" t="str">
        <x:v>Assistant Manager - Supply Chain</x:v>
      </x:c>
      <x:c r="F674" s="16" t="str">
        <x:v>Dhaka Head Office</x:v>
      </x:c>
      <x:c r="G674" s="16" t="str">
        <x:v>Permanent</x:v>
      </x:c>
      <x:c r="H674" s="35" t="n">
        <x:v>45998</x:v>
      </x:c>
      <x:c r="I674" s="35"/>
      <x:c r="J674" s="16" t="str"/>
      <x:c r="K674" s="16" t="str">
        <x:f>IF(I674="","Active","Exited")</x:f>
        <x:v>Active</x:v>
      </x:c>
      <x:c r="L674" s="16" t="n">
        <x:f>(YEAR(IF(I674="",TODAY(),I674))-YEAR(H674))*12+MONTH(IF(I674="",TODAY(),I674))-MONTH(H674)</x:f>
        <x:v>7</x:v>
      </x:c>
      <x:c r="M674" s="36" t="n">
        <x:f>DATE(YEAR(H674),MONTH(H674),1)</x:f>
        <x:v>45992</x:v>
      </x:c>
      <x:c r="N674" s="36" t="str">
        <x:f>IF(I674="","",DATE(YEAR(I674),MONTH(I674),1))</x:f>
      </x:c>
    </x:row>
    <x:row r="675">
      <x:c r="A675" s="16" t="str">
        <x:v>HG-01674</x:v>
      </x:c>
      <x:c r="B675" s="16" t="str">
        <x:v>Mim Rahman</x:v>
      </x:c>
      <x:c r="C675" s="16" t="str">
        <x:v>Female</x:v>
      </x:c>
      <x:c r="D675" s="16" t="str">
        <x:v>Administration</x:v>
      </x:c>
      <x:c r="E675" s="16" t="str">
        <x:v>Senior Admin Executive</x:v>
      </x:c>
      <x:c r="F675" s="16" t="str">
        <x:v>Dhaka Head Office</x:v>
      </x:c>
      <x:c r="G675" s="16" t="str">
        <x:v>Permanent</x:v>
      </x:c>
      <x:c r="H675" s="35" t="n">
        <x:v>46014</x:v>
      </x:c>
      <x:c r="I675" s="35"/>
      <x:c r="J675" s="16" t="str"/>
      <x:c r="K675" s="16" t="str">
        <x:f>IF(I675="","Active","Exited")</x:f>
        <x:v>Active</x:v>
      </x:c>
      <x:c r="L675" s="16" t="n">
        <x:f>(YEAR(IF(I675="",TODAY(),I675))-YEAR(H675))*12+MONTH(IF(I675="",TODAY(),I675))-MONTH(H675)</x:f>
        <x:v>7</x:v>
      </x:c>
      <x:c r="M675" s="36" t="n">
        <x:f>DATE(YEAR(H675),MONTH(H675),1)</x:f>
        <x:v>45992</x:v>
      </x:c>
      <x:c r="N675" s="36" t="str">
        <x:f>IF(I675="","",DATE(YEAR(I675),MONTH(I675),1))</x:f>
      </x:c>
    </x:row>
    <x:row r="676">
      <x:c r="A676" s="16" t="str">
        <x:v>HG-01675</x:v>
      </x:c>
      <x:c r="B676" s="16" t="str">
        <x:v>Rafi Hossain</x:v>
      </x:c>
      <x:c r="C676" s="16" t="str">
        <x:v>Male</x:v>
      </x:c>
      <x:c r="D676" s="16" t="str">
        <x:v>Production</x:v>
      </x:c>
      <x:c r="E676" s="16" t="str">
        <x:v>Line Supervisor</x:v>
      </x:c>
      <x:c r="F676" s="16" t="str">
        <x:v>Gazipur Plant</x:v>
      </x:c>
      <x:c r="G676" s="16" t="str">
        <x:v>Permanent</x:v>
      </x:c>
      <x:c r="H676" s="35" t="n">
        <x:v>45996</x:v>
      </x:c>
      <x:c r="I676" s="35"/>
      <x:c r="J676" s="16" t="str"/>
      <x:c r="K676" s="16" t="str">
        <x:f>IF(I676="","Active","Exited")</x:f>
        <x:v>Active</x:v>
      </x:c>
      <x:c r="L676" s="16" t="n">
        <x:f>(YEAR(IF(I676="",TODAY(),I676))-YEAR(H676))*12+MONTH(IF(I676="",TODAY(),I676))-MONTH(H676)</x:f>
        <x:v>7</x:v>
      </x:c>
      <x:c r="M676" s="36" t="n">
        <x:f>DATE(YEAR(H676),MONTH(H676),1)</x:f>
        <x:v>45992</x:v>
      </x:c>
      <x:c r="N676" s="36" t="str">
        <x:f>IF(I676="","",DATE(YEAR(I676),MONTH(I676),1))</x:f>
      </x:c>
    </x:row>
    <x:row r="677">
      <x:c r="A677" s="16" t="str">
        <x:v>HG-01676</x:v>
      </x:c>
      <x:c r="B677" s="16" t="str">
        <x:v>Imran Sarker</x:v>
      </x:c>
      <x:c r="C677" s="16" t="str">
        <x:v>Male</x:v>
      </x:c>
      <x:c r="D677" s="16" t="str">
        <x:v>Sales &amp; Marketing</x:v>
      </x:c>
      <x:c r="E677" s="16" t="str">
        <x:v>Assistant Manager - Sales</x:v>
      </x:c>
      <x:c r="F677" s="16" t="str">
        <x:v>Dhaka Head Office</x:v>
      </x:c>
      <x:c r="G677" s="16" t="str">
        <x:v>Permanent</x:v>
      </x:c>
      <x:c r="H677" s="35" t="n">
        <x:v>45997</x:v>
      </x:c>
      <x:c r="I677" s="35"/>
      <x:c r="J677" s="16" t="str"/>
      <x:c r="K677" s="16" t="str">
        <x:f>IF(I677="","Active","Exited")</x:f>
        <x:v>Active</x:v>
      </x:c>
      <x:c r="L677" s="16" t="n">
        <x:f>(YEAR(IF(I677="",TODAY(),I677))-YEAR(H677))*12+MONTH(IF(I677="",TODAY(),I677))-MONTH(H677)</x:f>
        <x:v>7</x:v>
      </x:c>
      <x:c r="M677" s="36" t="n">
        <x:f>DATE(YEAR(H677),MONTH(H677),1)</x:f>
        <x:v>45992</x:v>
      </x:c>
      <x:c r="N677" s="36" t="str">
        <x:f>IF(I677="","",DATE(YEAR(I677),MONTH(I677),1))</x:f>
      </x:c>
    </x:row>
    <x:row r="678">
      <x:c r="A678" s="16" t="str">
        <x:v>HG-01677</x:v>
      </x:c>
      <x:c r="B678" s="16" t="str">
        <x:v>Sumaiya Hasan</x:v>
      </x:c>
      <x:c r="C678" s="16" t="str">
        <x:v>Female</x:v>
      </x:c>
      <x:c r="D678" s="16" t="str">
        <x:v>Sales &amp; Marketing</x:v>
      </x:c>
      <x:c r="E678" s="16" t="str">
        <x:v>Key Account Executive</x:v>
      </x:c>
      <x:c r="F678" s="16" t="str">
        <x:v>Dhaka Head Office</x:v>
      </x:c>
      <x:c r="G678" s="16" t="str">
        <x:v>Permanent</x:v>
      </x:c>
      <x:c r="H678" s="35" t="n">
        <x:v>46006</x:v>
      </x:c>
      <x:c r="I678" s="35"/>
      <x:c r="J678" s="16" t="str"/>
      <x:c r="K678" s="16" t="str">
        <x:f>IF(I678="","Active","Exited")</x:f>
        <x:v>Active</x:v>
      </x:c>
      <x:c r="L678" s="16" t="n">
        <x:f>(YEAR(IF(I678="",TODAY(),I678))-YEAR(H678))*12+MONTH(IF(I678="",TODAY(),I678))-MONTH(H678)</x:f>
        <x:v>7</x:v>
      </x:c>
      <x:c r="M678" s="36" t="n">
        <x:f>DATE(YEAR(H678),MONTH(H678),1)</x:f>
        <x:v>45992</x:v>
      </x:c>
      <x:c r="N678" s="36" t="str">
        <x:f>IF(I678="","",DATE(YEAR(I678),MONTH(I678),1))</x:f>
      </x:c>
    </x:row>
    <x:row r="679">
      <x:c r="A679" s="16" t="str">
        <x:v>HG-01678</x:v>
      </x:c>
      <x:c r="B679" s="16" t="str">
        <x:v>Sadika Uddin</x:v>
      </x:c>
      <x:c r="C679" s="16" t="str">
        <x:v>Female</x:v>
      </x:c>
      <x:c r="D679" s="16" t="str">
        <x:v>Sales &amp; Marketing</x:v>
      </x:c>
      <x:c r="E679" s="16" t="str">
        <x:v>Assistant Manager - Sales</x:v>
      </x:c>
      <x:c r="F679" s="16" t="str">
        <x:v>Dhaka Head Office</x:v>
      </x:c>
      <x:c r="G679" s="16" t="str">
        <x:v>Permanent</x:v>
      </x:c>
      <x:c r="H679" s="35" t="n">
        <x:v>46019</x:v>
      </x:c>
      <x:c r="I679" s="35"/>
      <x:c r="J679" s="16" t="str"/>
      <x:c r="K679" s="16" t="str">
        <x:f>IF(I679="","Active","Exited")</x:f>
        <x:v>Active</x:v>
      </x:c>
      <x:c r="L679" s="16" t="n">
        <x:f>(YEAR(IF(I679="",TODAY(),I679))-YEAR(H679))*12+MONTH(IF(I679="",TODAY(),I679))-MONTH(H679)</x:f>
        <x:v>7</x:v>
      </x:c>
      <x:c r="M679" s="36" t="n">
        <x:f>DATE(YEAR(H679),MONTH(H679),1)</x:f>
        <x:v>45992</x:v>
      </x:c>
      <x:c r="N679" s="36" t="str">
        <x:f>IF(I679="","",DATE(YEAR(I679),MONTH(I679),1))</x:f>
      </x:c>
    </x:row>
    <x:row r="680">
      <x:c r="A680" s="16" t="str">
        <x:v>HG-01679</x:v>
      </x:c>
      <x:c r="B680" s="16" t="str">
        <x:v>Foysal Miah</x:v>
      </x:c>
      <x:c r="C680" s="16" t="str">
        <x:v>Male</x:v>
      </x:c>
      <x:c r="D680" s="16" t="str">
        <x:v>Production</x:v>
      </x:c>
      <x:c r="E680" s="16" t="str">
        <x:v>Production Officer</x:v>
      </x:c>
      <x:c r="F680" s="16" t="str">
        <x:v>Narayanganj Plant</x:v>
      </x:c>
      <x:c r="G680" s="16" t="str">
        <x:v>Permanent</x:v>
      </x:c>
      <x:c r="H680" s="35" t="n">
        <x:v>46021</x:v>
      </x:c>
      <x:c r="I680" s="35"/>
      <x:c r="J680" s="16" t="str"/>
      <x:c r="K680" s="16" t="str">
        <x:f>IF(I680="","Active","Exited")</x:f>
        <x:v>Active</x:v>
      </x:c>
      <x:c r="L680" s="16" t="n">
        <x:f>(YEAR(IF(I680="",TODAY(),I680))-YEAR(H680))*12+MONTH(IF(I680="",TODAY(),I680))-MONTH(H680)</x:f>
        <x:v>7</x:v>
      </x:c>
      <x:c r="M680" s="36" t="n">
        <x:f>DATE(YEAR(H680),MONTH(H680),1)</x:f>
        <x:v>45992</x:v>
      </x:c>
      <x:c r="N680" s="36" t="str">
        <x:f>IF(I680="","",DATE(YEAR(I680),MONTH(I680),1))</x:f>
      </x:c>
    </x:row>
    <x:row r="681">
      <x:c r="A681" s="16" t="str">
        <x:v>HG-01680</x:v>
      </x:c>
      <x:c r="B681" s="16" t="str">
        <x:v>Tasnim Chowdhury</x:v>
      </x:c>
      <x:c r="C681" s="16" t="str">
        <x:v>Female</x:v>
      </x:c>
      <x:c r="D681" s="16" t="str">
        <x:v>Production</x:v>
      </x:c>
      <x:c r="E681" s="16" t="str">
        <x:v>Senior Operator</x:v>
      </x:c>
      <x:c r="F681" s="16" t="str">
        <x:v>Chattogram Office</x:v>
      </x:c>
      <x:c r="G681" s="16" t="str">
        <x:v>Permanent</x:v>
      </x:c>
      <x:c r="H681" s="35" t="n">
        <x:v>45998</x:v>
      </x:c>
      <x:c r="I681" s="35" t="n">
        <x:v>46096</x:v>
      </x:c>
      <x:c r="J681" s="16" t="str">
        <x:v>Work-Life Balance</x:v>
      </x:c>
      <x:c r="K681" s="16" t="str">
        <x:f>IF(I681="","Active","Exited")</x:f>
        <x:v>Exited</x:v>
      </x:c>
      <x:c r="L681" s="16" t="n">
        <x:f>(YEAR(IF(I681="",TODAY(),I681))-YEAR(H681))*12+MONTH(IF(I681="",TODAY(),I681))-MONTH(H681)</x:f>
        <x:v>3</x:v>
      </x:c>
      <x:c r="M681" s="36" t="n">
        <x:f>DATE(YEAR(H681),MONTH(H681),1)</x:f>
        <x:v>45992</x:v>
      </x:c>
      <x:c r="N681" s="36" t="n">
        <x:f>IF(I681="","",DATE(YEAR(I681),MONTH(I681),1))</x:f>
        <x:v>46082</x:v>
      </x:c>
    </x:row>
    <x:row r="682">
      <x:c r="A682" s="16" t="str">
        <x:v>HG-01681</x:v>
      </x:c>
      <x:c r="B682" s="16" t="str">
        <x:v>Shakil Hossain</x:v>
      </x:c>
      <x:c r="C682" s="16" t="str">
        <x:v>Male</x:v>
      </x:c>
      <x:c r="D682" s="16" t="str">
        <x:v>Quality Assurance</x:v>
      </x:c>
      <x:c r="E682" s="16" t="str">
        <x:v>Assistant Manager - QA</x:v>
      </x:c>
      <x:c r="F682" s="16" t="str">
        <x:v>Gazipur Plant</x:v>
      </x:c>
      <x:c r="G682" s="16" t="str">
        <x:v>Permanent</x:v>
      </x:c>
      <x:c r="H682" s="35" t="n">
        <x:v>45992</x:v>
      </x:c>
      <x:c r="I682" s="35"/>
      <x:c r="J682" s="16" t="str"/>
      <x:c r="K682" s="16" t="str">
        <x:f>IF(I682="","Active","Exited")</x:f>
        <x:v>Active</x:v>
      </x:c>
      <x:c r="L682" s="16" t="n">
        <x:f>(YEAR(IF(I682="",TODAY(),I682))-YEAR(H682))*12+MONTH(IF(I682="",TODAY(),I682))-MONTH(H682)</x:f>
        <x:v>7</x:v>
      </x:c>
      <x:c r="M682" s="36" t="n">
        <x:f>DATE(YEAR(H682),MONTH(H682),1)</x:f>
        <x:v>45992</x:v>
      </x:c>
      <x:c r="N682" s="36" t="str">
        <x:f>IF(I682="","",DATE(YEAR(I682),MONTH(I682),1))</x:f>
      </x:c>
    </x:row>
    <x:row r="683">
      <x:c r="A683" s="16" t="str">
        <x:v>HG-01682</x:v>
      </x:c>
      <x:c r="B683" s="16" t="str">
        <x:v>Fahim Akter</x:v>
      </x:c>
      <x:c r="C683" s="16" t="str">
        <x:v>Male</x:v>
      </x:c>
      <x:c r="D683" s="16" t="str">
        <x:v>Production</x:v>
      </x:c>
      <x:c r="E683" s="16" t="str">
        <x:v>Production Officer</x:v>
      </x:c>
      <x:c r="F683" s="16" t="str">
        <x:v>Chattogram Office</x:v>
      </x:c>
      <x:c r="G683" s="16" t="str">
        <x:v>Permanent</x:v>
      </x:c>
      <x:c r="H683" s="35" t="n">
        <x:v>46010</x:v>
      </x:c>
      <x:c r="I683" s="35"/>
      <x:c r="J683" s="16" t="str"/>
      <x:c r="K683" s="16" t="str">
        <x:f>IF(I683="","Active","Exited")</x:f>
        <x:v>Active</x:v>
      </x:c>
      <x:c r="L683" s="16" t="n">
        <x:f>(YEAR(IF(I683="",TODAY(),I683))-YEAR(H683))*12+MONTH(IF(I683="",TODAY(),I683))-MONTH(H683)</x:f>
        <x:v>7</x:v>
      </x:c>
      <x:c r="M683" s="36" t="n">
        <x:f>DATE(YEAR(H683),MONTH(H683),1)</x:f>
        <x:v>45992</x:v>
      </x:c>
      <x:c r="N683" s="36" t="str">
        <x:f>IF(I683="","",DATE(YEAR(I683),MONTH(I683),1))</x:f>
      </x:c>
    </x:row>
    <x:row r="684">
      <x:c r="A684" s="16" t="str">
        <x:v>HG-01683</x:v>
      </x:c>
      <x:c r="B684" s="16" t="str">
        <x:v>Hasan Chowdhury</x:v>
      </x:c>
      <x:c r="C684" s="16" t="str">
        <x:v>Male</x:v>
      </x:c>
      <x:c r="D684" s="16" t="str">
        <x:v>Human Resources</x:v>
      </x:c>
      <x:c r="E684" s="16" t="str">
        <x:v>Senior HR Executive</x:v>
      </x:c>
      <x:c r="F684" s="16" t="str">
        <x:v>Dhaka Head Office</x:v>
      </x:c>
      <x:c r="G684" s="16" t="str">
        <x:v>Permanent</x:v>
      </x:c>
      <x:c r="H684" s="35" t="n">
        <x:v>46011</x:v>
      </x:c>
      <x:c r="I684" s="35"/>
      <x:c r="J684" s="16" t="str"/>
      <x:c r="K684" s="16" t="str">
        <x:f>IF(I684="","Active","Exited")</x:f>
        <x:v>Active</x:v>
      </x:c>
      <x:c r="L684" s="16" t="n">
        <x:f>(YEAR(IF(I684="",TODAY(),I684))-YEAR(H684))*12+MONTH(IF(I684="",TODAY(),I684))-MONTH(H684)</x:f>
        <x:v>7</x:v>
      </x:c>
      <x:c r="M684" s="36" t="n">
        <x:f>DATE(YEAR(H684),MONTH(H684),1)</x:f>
        <x:v>45992</x:v>
      </x:c>
      <x:c r="N684" s="36" t="str">
        <x:f>IF(I684="","",DATE(YEAR(I684),MONTH(I684),1))</x:f>
      </x:c>
    </x:row>
    <x:row r="685">
      <x:c r="A685" s="16" t="str">
        <x:v>HG-01684</x:v>
      </x:c>
      <x:c r="B685" s="16" t="str">
        <x:v>Tasnim Miah</x:v>
      </x:c>
      <x:c r="C685" s="16" t="str">
        <x:v>Female</x:v>
      </x:c>
      <x:c r="D685" s="16" t="str">
        <x:v>Finance &amp; Accounts</x:v>
      </x:c>
      <x:c r="E685" s="16" t="str">
        <x:v>Finance Officer</x:v>
      </x:c>
      <x:c r="F685" s="16" t="str">
        <x:v>Dhaka Head Office</x:v>
      </x:c>
      <x:c r="G685" s="16" t="str">
        <x:v>Permanent</x:v>
      </x:c>
      <x:c r="H685" s="35" t="n">
        <x:v>46018</x:v>
      </x:c>
      <x:c r="I685" s="35" t="n">
        <x:v>46127</x:v>
      </x:c>
      <x:c r="J685" s="16" t="str">
        <x:v>Career Growth</x:v>
      </x:c>
      <x:c r="K685" s="16" t="str">
        <x:f>IF(I685="","Active","Exited")</x:f>
        <x:v>Exited</x:v>
      </x:c>
      <x:c r="L685" s="16" t="n">
        <x:f>(YEAR(IF(I685="",TODAY(),I685))-YEAR(H685))*12+MONTH(IF(I685="",TODAY(),I685))-MONTH(H685)</x:f>
        <x:v>4</x:v>
      </x:c>
      <x:c r="M685" s="36" t="n">
        <x:f>DATE(YEAR(H685),MONTH(H685),1)</x:f>
        <x:v>45992</x:v>
      </x:c>
      <x:c r="N685" s="36" t="n">
        <x:f>IF(I685="","",DATE(YEAR(I685),MONTH(I685),1))</x:f>
        <x:v>46113</x:v>
      </x:c>
    </x:row>
    <x:row r="686">
      <x:c r="A686" s="16" t="str">
        <x:v>HG-01685</x:v>
      </x:c>
      <x:c r="B686" s="16" t="str">
        <x:v>Foysal Kabir</x:v>
      </x:c>
      <x:c r="C686" s="16" t="str">
        <x:v>Male</x:v>
      </x:c>
      <x:c r="D686" s="16" t="str">
        <x:v>Sales &amp; Marketing</x:v>
      </x:c>
      <x:c r="E686" s="16" t="str">
        <x:v>Sales Executive</x:v>
      </x:c>
      <x:c r="F686" s="16" t="str">
        <x:v>Gazipur Plant</x:v>
      </x:c>
      <x:c r="G686" s="16" t="str">
        <x:v>Permanent</x:v>
      </x:c>
      <x:c r="H686" s="35" t="n">
        <x:v>45999</x:v>
      </x:c>
      <x:c r="I686" s="35"/>
      <x:c r="J686" s="16" t="str"/>
      <x:c r="K686" s="16" t="str">
        <x:f>IF(I686="","Active","Exited")</x:f>
        <x:v>Active</x:v>
      </x:c>
      <x:c r="L686" s="16" t="n">
        <x:f>(YEAR(IF(I686="",TODAY(),I686))-YEAR(H686))*12+MONTH(IF(I686="",TODAY(),I686))-MONTH(H686)</x:f>
        <x:v>7</x:v>
      </x:c>
      <x:c r="M686" s="36" t="n">
        <x:f>DATE(YEAR(H686),MONTH(H686),1)</x:f>
        <x:v>45992</x:v>
      </x:c>
      <x:c r="N686" s="36" t="str">
        <x:f>IF(I686="","",DATE(YEAR(I686),MONTH(I686),1))</x:f>
      </x:c>
    </x:row>
    <x:row r="687">
      <x:c r="A687" s="16" t="str">
        <x:v>HG-01686</x:v>
      </x:c>
      <x:c r="B687" s="16" t="str">
        <x:v>Rashed Rahman</x:v>
      </x:c>
      <x:c r="C687" s="16" t="str">
        <x:v>Male</x:v>
      </x:c>
      <x:c r="D687" s="16" t="str">
        <x:v>Quality Assurance</x:v>
      </x:c>
      <x:c r="E687" s="16" t="str">
        <x:v>Compliance Executive</x:v>
      </x:c>
      <x:c r="F687" s="16" t="str">
        <x:v>Gazipur Plant</x:v>
      </x:c>
      <x:c r="G687" s="16" t="str">
        <x:v>Probation</x:v>
      </x:c>
      <x:c r="H687" s="35" t="n">
        <x:v>45998</x:v>
      </x:c>
      <x:c r="I687" s="35"/>
      <x:c r="J687" s="16" t="str"/>
      <x:c r="K687" s="16" t="str">
        <x:f>IF(I687="","Active","Exited")</x:f>
        <x:v>Active</x:v>
      </x:c>
      <x:c r="L687" s="16" t="n">
        <x:f>(YEAR(IF(I687="",TODAY(),I687))-YEAR(H687))*12+MONTH(IF(I687="",TODAY(),I687))-MONTH(H687)</x:f>
        <x:v>7</x:v>
      </x:c>
      <x:c r="M687" s="36" t="n">
        <x:f>DATE(YEAR(H687),MONTH(H687),1)</x:f>
        <x:v>45992</x:v>
      </x:c>
      <x:c r="N687" s="36" t="str">
        <x:f>IF(I687="","",DATE(YEAR(I687),MONTH(I687),1))</x:f>
      </x:c>
    </x:row>
    <x:row r="688">
      <x:c r="A688" s="16" t="str">
        <x:v>HG-01687</x:v>
      </x:c>
      <x:c r="B688" s="16" t="str">
        <x:v>Sabbir Begum</x:v>
      </x:c>
      <x:c r="C688" s="16" t="str">
        <x:v>Male</x:v>
      </x:c>
      <x:c r="D688" s="16" t="str">
        <x:v>Human Resources</x:v>
      </x:c>
      <x:c r="E688" s="16" t="str">
        <x:v>Assistant Manager - HR</x:v>
      </x:c>
      <x:c r="F688" s="16" t="str">
        <x:v>Dhaka Head Office</x:v>
      </x:c>
      <x:c r="G688" s="16" t="str">
        <x:v>Contract</x:v>
      </x:c>
      <x:c r="H688" s="35" t="n">
        <x:v>46016</x:v>
      </x:c>
      <x:c r="I688" s="35"/>
      <x:c r="J688" s="16" t="str"/>
      <x:c r="K688" s="16" t="str">
        <x:f>IF(I688="","Active","Exited")</x:f>
        <x:v>Active</x:v>
      </x:c>
      <x:c r="L688" s="16" t="n">
        <x:f>(YEAR(IF(I688="",TODAY(),I688))-YEAR(H688))*12+MONTH(IF(I688="",TODAY(),I688))-MONTH(H688)</x:f>
        <x:v>7</x:v>
      </x:c>
      <x:c r="M688" s="36" t="n">
        <x:f>DATE(YEAR(H688),MONTH(H688),1)</x:f>
        <x:v>45992</x:v>
      </x:c>
      <x:c r="N688" s="36" t="str">
        <x:f>IF(I688="","",DATE(YEAR(I688),MONTH(I688),1))</x:f>
      </x:c>
    </x:row>
    <x:row r="689">
      <x:c r="A689" s="16" t="str">
        <x:v>HG-01688</x:v>
      </x:c>
      <x:c r="B689" s="16" t="str">
        <x:v>Hasan Uddin</x:v>
      </x:c>
      <x:c r="C689" s="16" t="str">
        <x:v>Male</x:v>
      </x:c>
      <x:c r="D689" s="16" t="str">
        <x:v>Administration</x:v>
      </x:c>
      <x:c r="E689" s="16" t="str">
        <x:v>Assistant Manager - Admin</x:v>
      </x:c>
      <x:c r="F689" s="16" t="str">
        <x:v>Narayanganj Plant</x:v>
      </x:c>
      <x:c r="G689" s="16" t="str">
        <x:v>Permanent</x:v>
      </x:c>
      <x:c r="H689" s="35" t="n">
        <x:v>46005</x:v>
      </x:c>
      <x:c r="I689" s="35"/>
      <x:c r="J689" s="16" t="str"/>
      <x:c r="K689" s="16" t="str">
        <x:f>IF(I689="","Active","Exited")</x:f>
        <x:v>Active</x:v>
      </x:c>
      <x:c r="L689" s="16" t="n">
        <x:f>(YEAR(IF(I689="",TODAY(),I689))-YEAR(H689))*12+MONTH(IF(I689="",TODAY(),I689))-MONTH(H689)</x:f>
        <x:v>7</x:v>
      </x:c>
      <x:c r="M689" s="36" t="n">
        <x:f>DATE(YEAR(H689),MONTH(H689),1)</x:f>
        <x:v>45992</x:v>
      </x:c>
      <x:c r="N689" s="36" t="str">
        <x:f>IF(I689="","",DATE(YEAR(I689),MONTH(I689),1))</x:f>
      </x:c>
    </x:row>
    <x:row r="690">
      <x:c r="A690" s="16" t="str">
        <x:v>HG-01689</x:v>
      </x:c>
      <x:c r="B690" s="16" t="str">
        <x:v>Fahim Rahman</x:v>
      </x:c>
      <x:c r="C690" s="16" t="str">
        <x:v>Male</x:v>
      </x:c>
      <x:c r="D690" s="16" t="str">
        <x:v>Human Resources</x:v>
      </x:c>
      <x:c r="E690" s="16" t="str">
        <x:v>Senior HR Executive</x:v>
      </x:c>
      <x:c r="F690" s="16" t="str">
        <x:v>Dhaka Head Office</x:v>
      </x:c>
      <x:c r="G690" s="16" t="str">
        <x:v>Contract</x:v>
      </x:c>
      <x:c r="H690" s="35" t="n">
        <x:v>45995</x:v>
      </x:c>
      <x:c r="I690" s="35"/>
      <x:c r="J690" s="16" t="str"/>
      <x:c r="K690" s="16" t="str">
        <x:f>IF(I690="","Active","Exited")</x:f>
        <x:v>Active</x:v>
      </x:c>
      <x:c r="L690" s="16" t="n">
        <x:f>(YEAR(IF(I690="",TODAY(),I690))-YEAR(H690))*12+MONTH(IF(I690="",TODAY(),I690))-MONTH(H690)</x:f>
        <x:v>7</x:v>
      </x:c>
      <x:c r="M690" s="36" t="n">
        <x:f>DATE(YEAR(H690),MONTH(H690),1)</x:f>
        <x:v>45992</x:v>
      </x:c>
      <x:c r="N690" s="36" t="str">
        <x:f>IF(I690="","",DATE(YEAR(I690),MONTH(I690),1))</x:f>
      </x:c>
    </x:row>
    <x:row r="691">
      <x:c r="A691" s="16" t="str">
        <x:v>HG-01690</x:v>
      </x:c>
      <x:c r="B691" s="16" t="str">
        <x:v>Mizan Akter</x:v>
      </x:c>
      <x:c r="C691" s="16" t="str">
        <x:v>Male</x:v>
      </x:c>
      <x:c r="D691" s="16" t="str">
        <x:v>Sales &amp; Marketing</x:v>
      </x:c>
      <x:c r="E691" s="16" t="str">
        <x:v>Sales Executive</x:v>
      </x:c>
      <x:c r="F691" s="16" t="str">
        <x:v>Dhaka Head Office</x:v>
      </x:c>
      <x:c r="G691" s="16" t="str">
        <x:v>Permanent</x:v>
      </x:c>
      <x:c r="H691" s="35" t="n">
        <x:v>46016</x:v>
      </x:c>
      <x:c r="I691" s="35"/>
      <x:c r="J691" s="16" t="str"/>
      <x:c r="K691" s="16" t="str">
        <x:f>IF(I691="","Active","Exited")</x:f>
        <x:v>Active</x:v>
      </x:c>
      <x:c r="L691" s="16" t="n">
        <x:f>(YEAR(IF(I691="",TODAY(),I691))-YEAR(H691))*12+MONTH(IF(I691="",TODAY(),I691))-MONTH(H691)</x:f>
        <x:v>7</x:v>
      </x:c>
      <x:c r="M691" s="36" t="n">
        <x:f>DATE(YEAR(H691),MONTH(H691),1)</x:f>
        <x:v>45992</x:v>
      </x:c>
      <x:c r="N691" s="36" t="str">
        <x:f>IF(I691="","",DATE(YEAR(I691),MONTH(I691),1))</x:f>
      </x:c>
    </x:row>
    <x:row r="692">
      <x:c r="A692" s="16" t="str">
        <x:v>HG-01691</x:v>
      </x:c>
      <x:c r="B692" s="16" t="str">
        <x:v>Mahmud Akter</x:v>
      </x:c>
      <x:c r="C692" s="16" t="str">
        <x:v>Male</x:v>
      </x:c>
      <x:c r="D692" s="16" t="str">
        <x:v>Sales &amp; Marketing</x:v>
      </x:c>
      <x:c r="E692" s="16" t="str">
        <x:v>Key Account Executive</x:v>
      </x:c>
      <x:c r="F692" s="16" t="str">
        <x:v>Dhaka Head Office</x:v>
      </x:c>
      <x:c r="G692" s="16" t="str">
        <x:v>Probation</x:v>
      </x:c>
      <x:c r="H692" s="35" t="n">
        <x:v>46025</x:v>
      </x:c>
      <x:c r="I692" s="35"/>
      <x:c r="J692" s="16" t="str"/>
      <x:c r="K692" s="16" t="str">
        <x:f>IF(I692="","Active","Exited")</x:f>
        <x:v>Active</x:v>
      </x:c>
      <x:c r="L692" s="16" t="n">
        <x:f>(YEAR(IF(I692="",TODAY(),I692))-YEAR(H692))*12+MONTH(IF(I692="",TODAY(),I692))-MONTH(H692)</x:f>
        <x:v>6</x:v>
      </x:c>
      <x:c r="M692" s="36" t="n">
        <x:f>DATE(YEAR(H692),MONTH(H692),1)</x:f>
        <x:v>46023</x:v>
      </x:c>
      <x:c r="N692" s="36" t="str">
        <x:f>IF(I692="","",DATE(YEAR(I692),MONTH(I692),1))</x:f>
      </x:c>
    </x:row>
    <x:row r="693">
      <x:c r="A693" s="16" t="str">
        <x:v>HG-01692</x:v>
      </x:c>
      <x:c r="B693" s="16" t="str">
        <x:v>Fahim Akter</x:v>
      </x:c>
      <x:c r="C693" s="16" t="str">
        <x:v>Male</x:v>
      </x:c>
      <x:c r="D693" s="16" t="str">
        <x:v>Administration</x:v>
      </x:c>
      <x:c r="E693" s="16" t="str">
        <x:v>Senior Admin Executive</x:v>
      </x:c>
      <x:c r="F693" s="16" t="str">
        <x:v>Dhaka Head Office</x:v>
      </x:c>
      <x:c r="G693" s="16" t="str">
        <x:v>Permanent</x:v>
      </x:c>
      <x:c r="H693" s="35" t="n">
        <x:v>46048</x:v>
      </x:c>
      <x:c r="I693" s="35"/>
      <x:c r="J693" s="16" t="str"/>
      <x:c r="K693" s="16" t="str">
        <x:f>IF(I693="","Active","Exited")</x:f>
        <x:v>Active</x:v>
      </x:c>
      <x:c r="L693" s="16" t="n">
        <x:f>(YEAR(IF(I693="",TODAY(),I693))-YEAR(H693))*12+MONTH(IF(I693="",TODAY(),I693))-MONTH(H693)</x:f>
        <x:v>6</x:v>
      </x:c>
      <x:c r="M693" s="36" t="n">
        <x:f>DATE(YEAR(H693),MONTH(H693),1)</x:f>
        <x:v>46023</x:v>
      </x:c>
      <x:c r="N693" s="36" t="str">
        <x:f>IF(I693="","",DATE(YEAR(I693),MONTH(I693),1))</x:f>
      </x:c>
    </x:row>
    <x:row r="694">
      <x:c r="A694" s="16" t="str">
        <x:v>HG-01693</x:v>
      </x:c>
      <x:c r="B694" s="16" t="str">
        <x:v>Mehedi Begum</x:v>
      </x:c>
      <x:c r="C694" s="16" t="str">
        <x:v>Male</x:v>
      </x:c>
      <x:c r="D694" s="16" t="str">
        <x:v>Sales &amp; Marketing</x:v>
      </x:c>
      <x:c r="E694" s="16" t="str">
        <x:v>Sales Executive</x:v>
      </x:c>
      <x:c r="F694" s="16" t="str">
        <x:v>Dhaka Head Office</x:v>
      </x:c>
      <x:c r="G694" s="16" t="str">
        <x:v>Permanent</x:v>
      </x:c>
      <x:c r="H694" s="35" t="n">
        <x:v>46051</x:v>
      </x:c>
      <x:c r="I694" s="35"/>
      <x:c r="J694" s="16" t="str"/>
      <x:c r="K694" s="16" t="str">
        <x:f>IF(I694="","Active","Exited")</x:f>
        <x:v>Active</x:v>
      </x:c>
      <x:c r="L694" s="16" t="n">
        <x:f>(YEAR(IF(I694="",TODAY(),I694))-YEAR(H694))*12+MONTH(IF(I694="",TODAY(),I694))-MONTH(H694)</x:f>
        <x:v>6</x:v>
      </x:c>
      <x:c r="M694" s="36" t="n">
        <x:f>DATE(YEAR(H694),MONTH(H694),1)</x:f>
        <x:v>46023</x:v>
      </x:c>
      <x:c r="N694" s="36" t="str">
        <x:f>IF(I694="","",DATE(YEAR(I694),MONTH(I694),1))</x:f>
      </x:c>
    </x:row>
    <x:row r="695">
      <x:c r="A695" s="16" t="str">
        <x:v>HG-01694</x:v>
      </x:c>
      <x:c r="B695" s="16" t="str">
        <x:v>Tanvir Ahmed</x:v>
      </x:c>
      <x:c r="C695" s="16" t="str">
        <x:v>Male</x:v>
      </x:c>
      <x:c r="D695" s="16" t="str">
        <x:v>Production</x:v>
      </x:c>
      <x:c r="E695" s="16" t="str">
        <x:v>Production Officer</x:v>
      </x:c>
      <x:c r="F695" s="16" t="str">
        <x:v>Narayanganj Plant</x:v>
      </x:c>
      <x:c r="G695" s="16" t="str">
        <x:v>Permanent</x:v>
      </x:c>
      <x:c r="H695" s="35" t="n">
        <x:v>46033</x:v>
      </x:c>
      <x:c r="I695" s="35"/>
      <x:c r="J695" s="16" t="str"/>
      <x:c r="K695" s="16" t="str">
        <x:f>IF(I695="","Active","Exited")</x:f>
        <x:v>Active</x:v>
      </x:c>
      <x:c r="L695" s="16" t="n">
        <x:f>(YEAR(IF(I695="",TODAY(),I695))-YEAR(H695))*12+MONTH(IF(I695="",TODAY(),I695))-MONTH(H695)</x:f>
        <x:v>6</x:v>
      </x:c>
      <x:c r="M695" s="36" t="n">
        <x:f>DATE(YEAR(H695),MONTH(H695),1)</x:f>
        <x:v>46023</x:v>
      </x:c>
      <x:c r="N695" s="36" t="str">
        <x:f>IF(I695="","",DATE(YEAR(I695),MONTH(I695),1))</x:f>
      </x:c>
    </x:row>
    <x:row r="696">
      <x:c r="A696" s="16" t="str">
        <x:v>HG-01695</x:v>
      </x:c>
      <x:c r="B696" s="16" t="str">
        <x:v>Fahim Hasan</x:v>
      </x:c>
      <x:c r="C696" s="16" t="str">
        <x:v>Male</x:v>
      </x:c>
      <x:c r="D696" s="16" t="str">
        <x:v>Production</x:v>
      </x:c>
      <x:c r="E696" s="16" t="str">
        <x:v>Line Supervisor</x:v>
      </x:c>
      <x:c r="F696" s="16" t="str">
        <x:v>Chattogram Office</x:v>
      </x:c>
      <x:c r="G696" s="16" t="str">
        <x:v>Permanent</x:v>
      </x:c>
      <x:c r="H696" s="35" t="n">
        <x:v>46050</x:v>
      </x:c>
      <x:c r="I696" s="35"/>
      <x:c r="J696" s="16" t="str"/>
      <x:c r="K696" s="16" t="str">
        <x:f>IF(I696="","Active","Exited")</x:f>
        <x:v>Active</x:v>
      </x:c>
      <x:c r="L696" s="16" t="n">
        <x:f>(YEAR(IF(I696="",TODAY(),I696))-YEAR(H696))*12+MONTH(IF(I696="",TODAY(),I696))-MONTH(H696)</x:f>
        <x:v>6</x:v>
      </x:c>
      <x:c r="M696" s="36" t="n">
        <x:f>DATE(YEAR(H696),MONTH(H696),1)</x:f>
        <x:v>46023</x:v>
      </x:c>
      <x:c r="N696" s="36" t="str">
        <x:f>IF(I696="","",DATE(YEAR(I696),MONTH(I696),1))</x:f>
      </x:c>
    </x:row>
    <x:row r="697">
      <x:c r="A697" s="16" t="str">
        <x:v>HG-01696</x:v>
      </x:c>
      <x:c r="B697" s="16" t="str">
        <x:v>Jubayer Kabir</x:v>
      </x:c>
      <x:c r="C697" s="16" t="str">
        <x:v>Male</x:v>
      </x:c>
      <x:c r="D697" s="16" t="str">
        <x:v>Finance &amp; Accounts</x:v>
      </x:c>
      <x:c r="E697" s="16" t="str">
        <x:v>Assistant Manager - Finance</x:v>
      </x:c>
      <x:c r="F697" s="16" t="str">
        <x:v>Dhaka Head Office</x:v>
      </x:c>
      <x:c r="G697" s="16" t="str">
        <x:v>Permanent</x:v>
      </x:c>
      <x:c r="H697" s="35" t="n">
        <x:v>46024</x:v>
      </x:c>
      <x:c r="I697" s="35"/>
      <x:c r="J697" s="16" t="str"/>
      <x:c r="K697" s="16" t="str">
        <x:f>IF(I697="","Active","Exited")</x:f>
        <x:v>Active</x:v>
      </x:c>
      <x:c r="L697" s="16" t="n">
        <x:f>(YEAR(IF(I697="",TODAY(),I697))-YEAR(H697))*12+MONTH(IF(I697="",TODAY(),I697))-MONTH(H697)</x:f>
        <x:v>6</x:v>
      </x:c>
      <x:c r="M697" s="36" t="n">
        <x:f>DATE(YEAR(H697),MONTH(H697),1)</x:f>
        <x:v>46023</x:v>
      </x:c>
      <x:c r="N697" s="36" t="str">
        <x:f>IF(I697="","",DATE(YEAR(I697),MONTH(I697),1))</x:f>
      </x:c>
    </x:row>
    <x:row r="698">
      <x:c r="A698" s="16" t="str">
        <x:v>HG-01697</x:v>
      </x:c>
      <x:c r="B698" s="16" t="str">
        <x:v>Hasan Akter</x:v>
      </x:c>
      <x:c r="C698" s="16" t="str">
        <x:v>Male</x:v>
      </x:c>
      <x:c r="D698" s="16" t="str">
        <x:v>Production</x:v>
      </x:c>
      <x:c r="E698" s="16" t="str">
        <x:v>Production Officer</x:v>
      </x:c>
      <x:c r="F698" s="16" t="str">
        <x:v>Gazipur Plant</x:v>
      </x:c>
      <x:c r="G698" s="16" t="str">
        <x:v>Permanent</x:v>
      </x:c>
      <x:c r="H698" s="35" t="n">
        <x:v>46030</x:v>
      </x:c>
      <x:c r="I698" s="35"/>
      <x:c r="J698" s="16" t="str"/>
      <x:c r="K698" s="16" t="str">
        <x:f>IF(I698="","Active","Exited")</x:f>
        <x:v>Active</x:v>
      </x:c>
      <x:c r="L698" s="16" t="n">
        <x:f>(YEAR(IF(I698="",TODAY(),I698))-YEAR(H698))*12+MONTH(IF(I698="",TODAY(),I698))-MONTH(H698)</x:f>
        <x:v>6</x:v>
      </x:c>
      <x:c r="M698" s="36" t="n">
        <x:f>DATE(YEAR(H698),MONTH(H698),1)</x:f>
        <x:v>46023</x:v>
      </x:c>
      <x:c r="N698" s="36" t="str">
        <x:f>IF(I698="","",DATE(YEAR(I698),MONTH(I698),1))</x:f>
      </x:c>
    </x:row>
    <x:row r="699">
      <x:c r="A699" s="16" t="str">
        <x:v>HG-01698</x:v>
      </x:c>
      <x:c r="B699" s="16" t="str">
        <x:v>Sadia Khan</x:v>
      </x:c>
      <x:c r="C699" s="16" t="str">
        <x:v>Female</x:v>
      </x:c>
      <x:c r="D699" s="16" t="str">
        <x:v>Production</x:v>
      </x:c>
      <x:c r="E699" s="16" t="str">
        <x:v>Line Supervisor</x:v>
      </x:c>
      <x:c r="F699" s="16" t="str">
        <x:v>Gazipur Plant</x:v>
      </x:c>
      <x:c r="G699" s="16" t="str">
        <x:v>Permanent</x:v>
      </x:c>
      <x:c r="H699" s="35" t="n">
        <x:v>46051</x:v>
      </x:c>
      <x:c r="I699" s="35"/>
      <x:c r="J699" s="16" t="str"/>
      <x:c r="K699" s="16" t="str">
        <x:f>IF(I699="","Active","Exited")</x:f>
        <x:v>Active</x:v>
      </x:c>
      <x:c r="L699" s="16" t="n">
        <x:f>(YEAR(IF(I699="",TODAY(),I699))-YEAR(H699))*12+MONTH(IF(I699="",TODAY(),I699))-MONTH(H699)</x:f>
        <x:v>6</x:v>
      </x:c>
      <x:c r="M699" s="36" t="n">
        <x:f>DATE(YEAR(H699),MONTH(H699),1)</x:f>
        <x:v>46023</x:v>
      </x:c>
      <x:c r="N699" s="36" t="str">
        <x:f>IF(I699="","",DATE(YEAR(I699),MONTH(I699),1))</x:f>
      </x:c>
    </x:row>
    <x:row r="700">
      <x:c r="A700" s="16" t="str">
        <x:v>HG-01699</x:v>
      </x:c>
      <x:c r="B700" s="16" t="str">
        <x:v>Mehedi Islam</x:v>
      </x:c>
      <x:c r="C700" s="16" t="str">
        <x:v>Male</x:v>
      </x:c>
      <x:c r="D700" s="16" t="str">
        <x:v>Administration</x:v>
      </x:c>
      <x:c r="E700" s="16" t="str">
        <x:v>Admin Executive</x:v>
      </x:c>
      <x:c r="F700" s="16" t="str">
        <x:v>Dhaka Head Office</x:v>
      </x:c>
      <x:c r="G700" s="16" t="str">
        <x:v>Permanent</x:v>
      </x:c>
      <x:c r="H700" s="35" t="n">
        <x:v>46031</x:v>
      </x:c>
      <x:c r="I700" s="35"/>
      <x:c r="J700" s="16" t="str"/>
      <x:c r="K700" s="16" t="str">
        <x:f>IF(I700="","Active","Exited")</x:f>
        <x:v>Active</x:v>
      </x:c>
      <x:c r="L700" s="16" t="n">
        <x:f>(YEAR(IF(I700="",TODAY(),I700))-YEAR(H700))*12+MONTH(IF(I700="",TODAY(),I700))-MONTH(H700)</x:f>
        <x:v>6</x:v>
      </x:c>
      <x:c r="M700" s="36" t="n">
        <x:f>DATE(YEAR(H700),MONTH(H700),1)</x:f>
        <x:v>46023</x:v>
      </x:c>
      <x:c r="N700" s="36" t="str">
        <x:f>IF(I700="","",DATE(YEAR(I700),MONTH(I700),1))</x:f>
      </x:c>
    </x:row>
    <x:row r="701">
      <x:c r="A701" s="16" t="str">
        <x:v>HG-01700</x:v>
      </x:c>
      <x:c r="B701" s="16" t="str">
        <x:v>Hasan Sarker</x:v>
      </x:c>
      <x:c r="C701" s="16" t="str">
        <x:v>Male</x:v>
      </x:c>
      <x:c r="D701" s="16" t="str">
        <x:v>Quality Assurance</x:v>
      </x:c>
      <x:c r="E701" s="16" t="str">
        <x:v>Compliance Executive</x:v>
      </x:c>
      <x:c r="F701" s="16" t="str">
        <x:v>Gazipur Plant</x:v>
      </x:c>
      <x:c r="G701" s="16" t="str">
        <x:v>Permanent</x:v>
      </x:c>
      <x:c r="H701" s="35" t="n">
        <x:v>46027</x:v>
      </x:c>
      <x:c r="I701" s="35"/>
      <x:c r="J701" s="16" t="str"/>
      <x:c r="K701" s="16" t="str">
        <x:f>IF(I701="","Active","Exited")</x:f>
        <x:v>Active</x:v>
      </x:c>
      <x:c r="L701" s="16" t="n">
        <x:f>(YEAR(IF(I701="",TODAY(),I701))-YEAR(H701))*12+MONTH(IF(I701="",TODAY(),I701))-MONTH(H701)</x:f>
        <x:v>6</x:v>
      </x:c>
      <x:c r="M701" s="36" t="n">
        <x:f>DATE(YEAR(H701),MONTH(H701),1)</x:f>
        <x:v>46023</x:v>
      </x:c>
      <x:c r="N701" s="36" t="str">
        <x:f>IF(I701="","",DATE(YEAR(I701),MONTH(I701),1))</x:f>
      </x:c>
    </x:row>
    <x:row r="702">
      <x:c r="A702" s="16" t="str">
        <x:v>HG-01701</x:v>
      </x:c>
      <x:c r="B702" s="16" t="str">
        <x:v>Jubayer Miah</x:v>
      </x:c>
      <x:c r="C702" s="16" t="str">
        <x:v>Male</x:v>
      </x:c>
      <x:c r="D702" s="16" t="str">
        <x:v>Finance &amp; Accounts</x:v>
      </x:c>
      <x:c r="E702" s="16" t="str">
        <x:v>Payroll Executive</x:v>
      </x:c>
      <x:c r="F702" s="16" t="str">
        <x:v>Dhaka Head Office</x:v>
      </x:c>
      <x:c r="G702" s="16" t="str">
        <x:v>Probation</x:v>
      </x:c>
      <x:c r="H702" s="35" t="n">
        <x:v>46076</x:v>
      </x:c>
      <x:c r="I702" s="35"/>
      <x:c r="J702" s="16" t="str"/>
      <x:c r="K702" s="16" t="str">
        <x:f>IF(I702="","Active","Exited")</x:f>
        <x:v>Active</x:v>
      </x:c>
      <x:c r="L702" s="16" t="n">
        <x:f>(YEAR(IF(I702="",TODAY(),I702))-YEAR(H702))*12+MONTH(IF(I702="",TODAY(),I702))-MONTH(H702)</x:f>
        <x:v>5</x:v>
      </x:c>
      <x:c r="M702" s="36" t="n">
        <x:f>DATE(YEAR(H702),MONTH(H702),1)</x:f>
        <x:v>46054</x:v>
      </x:c>
      <x:c r="N702" s="36" t="str">
        <x:f>IF(I702="","",DATE(YEAR(I702),MONTH(I702),1))</x:f>
      </x:c>
    </x:row>
    <x:row r="703">
      <x:c r="A703" s="16" t="str">
        <x:v>HG-01702</x:v>
      </x:c>
      <x:c r="B703" s="16" t="str">
        <x:v>Arif Akter</x:v>
      </x:c>
      <x:c r="C703" s="16" t="str">
        <x:v>Male</x:v>
      </x:c>
      <x:c r="D703" s="16" t="str">
        <x:v>Sales &amp; Marketing</x:v>
      </x:c>
      <x:c r="E703" s="16" t="str">
        <x:v>Territory Officer</x:v>
      </x:c>
      <x:c r="F703" s="16" t="str">
        <x:v>Gazipur Plant</x:v>
      </x:c>
      <x:c r="G703" s="16" t="str">
        <x:v>Permanent</x:v>
      </x:c>
      <x:c r="H703" s="35" t="n">
        <x:v>46070</x:v>
      </x:c>
      <x:c r="I703" s="35"/>
      <x:c r="J703" s="16" t="str"/>
      <x:c r="K703" s="16" t="str">
        <x:f>IF(I703="","Active","Exited")</x:f>
        <x:v>Active</x:v>
      </x:c>
      <x:c r="L703" s="16" t="n">
        <x:f>(YEAR(IF(I703="",TODAY(),I703))-YEAR(H703))*12+MONTH(IF(I703="",TODAY(),I703))-MONTH(H703)</x:f>
        <x:v>5</x:v>
      </x:c>
      <x:c r="M703" s="36" t="n">
        <x:f>DATE(YEAR(H703),MONTH(H703),1)</x:f>
        <x:v>46054</x:v>
      </x:c>
      <x:c r="N703" s="36" t="str">
        <x:f>IF(I703="","",DATE(YEAR(I703),MONTH(I703),1))</x:f>
      </x:c>
    </x:row>
    <x:row r="704">
      <x:c r="A704" s="16" t="str">
        <x:v>HG-01703</x:v>
      </x:c>
      <x:c r="B704" s="16" t="str">
        <x:v>Fahim Hasan</x:v>
      </x:c>
      <x:c r="C704" s="16" t="str">
        <x:v>Male</x:v>
      </x:c>
      <x:c r="D704" s="16" t="str">
        <x:v>Sales &amp; Marketing</x:v>
      </x:c>
      <x:c r="E704" s="16" t="str">
        <x:v>Territory Officer</x:v>
      </x:c>
      <x:c r="F704" s="16" t="str">
        <x:v>Dhaka Head Office</x:v>
      </x:c>
      <x:c r="G704" s="16" t="str">
        <x:v>Permanent</x:v>
      </x:c>
      <x:c r="H704" s="35" t="n">
        <x:v>46079</x:v>
      </x:c>
      <x:c r="I704" s="35"/>
      <x:c r="J704" s="16" t="str"/>
      <x:c r="K704" s="16" t="str">
        <x:f>IF(I704="","Active","Exited")</x:f>
        <x:v>Active</x:v>
      </x:c>
      <x:c r="L704" s="16" t="n">
        <x:f>(YEAR(IF(I704="",TODAY(),I704))-YEAR(H704))*12+MONTH(IF(I704="",TODAY(),I704))-MONTH(H704)</x:f>
        <x:v>5</x:v>
      </x:c>
      <x:c r="M704" s="36" t="n">
        <x:f>DATE(YEAR(H704),MONTH(H704),1)</x:f>
        <x:v>46054</x:v>
      </x:c>
      <x:c r="N704" s="36" t="str">
        <x:f>IF(I704="","",DATE(YEAR(I704),MONTH(I704),1))</x:f>
      </x:c>
    </x:row>
    <x:row r="705">
      <x:c r="A705" s="16" t="str">
        <x:v>HG-01704</x:v>
      </x:c>
      <x:c r="B705" s="16" t="str">
        <x:v>Tasnim Sarker</x:v>
      </x:c>
      <x:c r="C705" s="16" t="str">
        <x:v>Female</x:v>
      </x:c>
      <x:c r="D705" s="16" t="str">
        <x:v>Quality Assurance</x:v>
      </x:c>
      <x:c r="E705" s="16" t="str">
        <x:v>Assistant Manager - QA</x:v>
      </x:c>
      <x:c r="F705" s="16" t="str">
        <x:v>Gazipur Plant</x:v>
      </x:c>
      <x:c r="G705" s="16" t="str">
        <x:v>Permanent</x:v>
      </x:c>
      <x:c r="H705" s="35" t="n">
        <x:v>46065</x:v>
      </x:c>
      <x:c r="I705" s="35" t="n">
        <x:v>46140</x:v>
      </x:c>
      <x:c r="J705" s="16" t="str">
        <x:v>Personal / Family</x:v>
      </x:c>
      <x:c r="K705" s="16" t="str">
        <x:f>IF(I705="","Active","Exited")</x:f>
        <x:v>Exited</x:v>
      </x:c>
      <x:c r="L705" s="16" t="n">
        <x:f>(YEAR(IF(I705="",TODAY(),I705))-YEAR(H705))*12+MONTH(IF(I705="",TODAY(),I705))-MONTH(H705)</x:f>
        <x:v>2</x:v>
      </x:c>
      <x:c r="M705" s="36" t="n">
        <x:f>DATE(YEAR(H705),MONTH(H705),1)</x:f>
        <x:v>46054</x:v>
      </x:c>
      <x:c r="N705" s="36" t="n">
        <x:f>IF(I705="","",DATE(YEAR(I705),MONTH(I705),1))</x:f>
        <x:v>46113</x:v>
      </x:c>
    </x:row>
    <x:row r="706">
      <x:c r="A706" s="16" t="str">
        <x:v>HG-01705</x:v>
      </x:c>
      <x:c r="B706" s="16" t="str">
        <x:v>Tanvir Kabir</x:v>
      </x:c>
      <x:c r="C706" s="16" t="str">
        <x:v>Male</x:v>
      </x:c>
      <x:c r="D706" s="16" t="str">
        <x:v>Sales &amp; Marketing</x:v>
      </x:c>
      <x:c r="E706" s="16" t="str">
        <x:v>Assistant Manager - Sales</x:v>
      </x:c>
      <x:c r="F706" s="16" t="str">
        <x:v>Narayanganj Plant</x:v>
      </x:c>
      <x:c r="G706" s="16" t="str">
        <x:v>Permanent</x:v>
      </x:c>
      <x:c r="H706" s="35" t="n">
        <x:v>46071</x:v>
      </x:c>
      <x:c r="I706" s="35"/>
      <x:c r="J706" s="16" t="str"/>
      <x:c r="K706" s="16" t="str">
        <x:f>IF(I706="","Active","Exited")</x:f>
        <x:v>Active</x:v>
      </x:c>
      <x:c r="L706" s="16" t="n">
        <x:f>(YEAR(IF(I706="",TODAY(),I706))-YEAR(H706))*12+MONTH(IF(I706="",TODAY(),I706))-MONTH(H706)</x:f>
        <x:v>5</x:v>
      </x:c>
      <x:c r="M706" s="36" t="n">
        <x:f>DATE(YEAR(H706),MONTH(H706),1)</x:f>
        <x:v>46054</x:v>
      </x:c>
      <x:c r="N706" s="36" t="str">
        <x:f>IF(I706="","",DATE(YEAR(I706),MONTH(I706),1))</x:f>
      </x:c>
    </x:row>
    <x:row r="707">
      <x:c r="A707" s="16" t="str">
        <x:v>HG-01706</x:v>
      </x:c>
      <x:c r="B707" s="16" t="str">
        <x:v>Asif Begum</x:v>
      </x:c>
      <x:c r="C707" s="16" t="str">
        <x:v>Male</x:v>
      </x:c>
      <x:c r="D707" s="16" t="str">
        <x:v>Finance &amp; Accounts</x:v>
      </x:c>
      <x:c r="E707" s="16" t="str">
        <x:v>Senior Accounts Executive</x:v>
      </x:c>
      <x:c r="F707" s="16" t="str">
        <x:v>Dhaka Head Office</x:v>
      </x:c>
      <x:c r="G707" s="16" t="str">
        <x:v>Permanent</x:v>
      </x:c>
      <x:c r="H707" s="35" t="n">
        <x:v>46079</x:v>
      </x:c>
      <x:c r="I707" s="35"/>
      <x:c r="J707" s="16" t="str"/>
      <x:c r="K707" s="16" t="str">
        <x:f>IF(I707="","Active","Exited")</x:f>
        <x:v>Active</x:v>
      </x:c>
      <x:c r="L707" s="16" t="n">
        <x:f>(YEAR(IF(I707="",TODAY(),I707))-YEAR(H707))*12+MONTH(IF(I707="",TODAY(),I707))-MONTH(H707)</x:f>
        <x:v>5</x:v>
      </x:c>
      <x:c r="M707" s="36" t="n">
        <x:f>DATE(YEAR(H707),MONTH(H707),1)</x:f>
        <x:v>46054</x:v>
      </x:c>
      <x:c r="N707" s="36" t="str">
        <x:f>IF(I707="","",DATE(YEAR(I707),MONTH(I707),1))</x:f>
      </x:c>
    </x:row>
    <x:row r="708">
      <x:c r="A708" s="16" t="str">
        <x:v>HG-01707</x:v>
      </x:c>
      <x:c r="B708" s="16" t="str">
        <x:v>Rakib Hasan</x:v>
      </x:c>
      <x:c r="C708" s="16" t="str">
        <x:v>Male</x:v>
      </x:c>
      <x:c r="D708" s="16" t="str">
        <x:v>Quality Assurance</x:v>
      </x:c>
      <x:c r="E708" s="16" t="str">
        <x:v>Senior QA Executive</x:v>
      </x:c>
      <x:c r="F708" s="16" t="str">
        <x:v>Chattogram Office</x:v>
      </x:c>
      <x:c r="G708" s="16" t="str">
        <x:v>Probation</x:v>
      </x:c>
      <x:c r="H708" s="35" t="n">
        <x:v>46077</x:v>
      </x:c>
      <x:c r="I708" s="35"/>
      <x:c r="J708" s="16" t="str"/>
      <x:c r="K708" s="16" t="str">
        <x:f>IF(I708="","Active","Exited")</x:f>
        <x:v>Active</x:v>
      </x:c>
      <x:c r="L708" s="16" t="n">
        <x:f>(YEAR(IF(I708="",TODAY(),I708))-YEAR(H708))*12+MONTH(IF(I708="",TODAY(),I708))-MONTH(H708)</x:f>
        <x:v>5</x:v>
      </x:c>
      <x:c r="M708" s="36" t="n">
        <x:f>DATE(YEAR(H708),MONTH(H708),1)</x:f>
        <x:v>46054</x:v>
      </x:c>
      <x:c r="N708" s="36" t="str">
        <x:f>IF(I708="","",DATE(YEAR(I708),MONTH(I708),1))</x:f>
      </x:c>
    </x:row>
    <x:row r="709">
      <x:c r="A709" s="16" t="str">
        <x:v>HG-01708</x:v>
      </x:c>
      <x:c r="B709" s="16" t="str">
        <x:v>Raisa Karim</x:v>
      </x:c>
      <x:c r="C709" s="16" t="str">
        <x:v>Female</x:v>
      </x:c>
      <x:c r="D709" s="16" t="str">
        <x:v>Sales &amp; Marketing</x:v>
      </x:c>
      <x:c r="E709" s="16" t="str">
        <x:v>Sales Executive</x:v>
      </x:c>
      <x:c r="F709" s="16" t="str">
        <x:v>Dhaka Head Office</x:v>
      </x:c>
      <x:c r="G709" s="16" t="str">
        <x:v>Permanent</x:v>
      </x:c>
      <x:c r="H709" s="35" t="n">
        <x:v>46079</x:v>
      </x:c>
      <x:c r="I709" s="35"/>
      <x:c r="J709" s="16" t="str"/>
      <x:c r="K709" s="16" t="str">
        <x:f>IF(I709="","Active","Exited")</x:f>
        <x:v>Active</x:v>
      </x:c>
      <x:c r="L709" s="16" t="n">
        <x:f>(YEAR(IF(I709="",TODAY(),I709))-YEAR(H709))*12+MONTH(IF(I709="",TODAY(),I709))-MONTH(H709)</x:f>
        <x:v>5</x:v>
      </x:c>
      <x:c r="M709" s="36" t="n">
        <x:f>DATE(YEAR(H709),MONTH(H709),1)</x:f>
        <x:v>46054</x:v>
      </x:c>
      <x:c r="N709" s="36" t="str">
        <x:f>IF(I709="","",DATE(YEAR(I709),MONTH(I709),1))</x:f>
      </x:c>
    </x:row>
    <x:row r="710">
      <x:c r="A710" s="16" t="str">
        <x:v>HG-01709</x:v>
      </x:c>
      <x:c r="B710" s="16" t="str">
        <x:v>Rakib Hasan</x:v>
      </x:c>
      <x:c r="C710" s="16" t="str">
        <x:v>Male</x:v>
      </x:c>
      <x:c r="D710" s="16" t="str">
        <x:v>Production</x:v>
      </x:c>
      <x:c r="E710" s="16" t="str">
        <x:v>Line Supervisor</x:v>
      </x:c>
      <x:c r="F710" s="16" t="str">
        <x:v>Gazipur Plant</x:v>
      </x:c>
      <x:c r="G710" s="16" t="str">
        <x:v>Contract</x:v>
      </x:c>
      <x:c r="H710" s="35" t="n">
        <x:v>46072</x:v>
      </x:c>
      <x:c r="I710" s="35"/>
      <x:c r="J710" s="16" t="str"/>
      <x:c r="K710" s="16" t="str">
        <x:f>IF(I710="","Active","Exited")</x:f>
        <x:v>Active</x:v>
      </x:c>
      <x:c r="L710" s="16" t="n">
        <x:f>(YEAR(IF(I710="",TODAY(),I710))-YEAR(H710))*12+MONTH(IF(I710="",TODAY(),I710))-MONTH(H710)</x:f>
        <x:v>5</x:v>
      </x:c>
      <x:c r="M710" s="36" t="n">
        <x:f>DATE(YEAR(H710),MONTH(H710),1)</x:f>
        <x:v>46054</x:v>
      </x:c>
      <x:c r="N710" s="36" t="str">
        <x:f>IF(I710="","",DATE(YEAR(I710),MONTH(I710),1))</x:f>
      </x:c>
    </x:row>
    <x:row r="711">
      <x:c r="A711" s="16" t="str">
        <x:v>HG-01710</x:v>
      </x:c>
      <x:c r="B711" s="16" t="str">
        <x:v>Nabila Khan</x:v>
      </x:c>
      <x:c r="C711" s="16" t="str">
        <x:v>Female</x:v>
      </x:c>
      <x:c r="D711" s="16" t="str">
        <x:v>Production</x:v>
      </x:c>
      <x:c r="E711" s="16" t="str">
        <x:v>Assistant Manager - Production</x:v>
      </x:c>
      <x:c r="F711" s="16" t="str">
        <x:v>Gazipur Plant</x:v>
      </x:c>
      <x:c r="G711" s="16" t="str">
        <x:v>Permanent</x:v>
      </x:c>
      <x:c r="H711" s="35" t="n">
        <x:v>46061</x:v>
      </x:c>
      <x:c r="I711" s="35"/>
      <x:c r="J711" s="16" t="str"/>
      <x:c r="K711" s="16" t="str">
        <x:f>IF(I711="","Active","Exited")</x:f>
        <x:v>Active</x:v>
      </x:c>
      <x:c r="L711" s="16" t="n">
        <x:f>(YEAR(IF(I711="",TODAY(),I711))-YEAR(H711))*12+MONTH(IF(I711="",TODAY(),I711))-MONTH(H711)</x:f>
        <x:v>5</x:v>
      </x:c>
      <x:c r="M711" s="36" t="n">
        <x:f>DATE(YEAR(H711),MONTH(H711),1)</x:f>
        <x:v>46054</x:v>
      </x:c>
      <x:c r="N711" s="36" t="str">
        <x:f>IF(I711="","",DATE(YEAR(I711),MONTH(I711),1))</x:f>
      </x:c>
    </x:row>
    <x:row r="712">
      <x:c r="A712" s="16" t="str">
        <x:v>HG-01711</x:v>
      </x:c>
      <x:c r="B712" s="16" t="str">
        <x:v>Asif Chowdhury</x:v>
      </x:c>
      <x:c r="C712" s="16" t="str">
        <x:v>Male</x:v>
      </x:c>
      <x:c r="D712" s="16" t="str">
        <x:v>Human Resources</x:v>
      </x:c>
      <x:c r="E712" s="16" t="str">
        <x:v>HR Assistant</x:v>
      </x:c>
      <x:c r="F712" s="16" t="str">
        <x:v>Chattogram Office</x:v>
      </x:c>
      <x:c r="G712" s="16" t="str">
        <x:v>Permanent</x:v>
      </x:c>
      <x:c r="H712" s="35" t="n">
        <x:v>46062</x:v>
      </x:c>
      <x:c r="I712" s="35"/>
      <x:c r="J712" s="16" t="str"/>
      <x:c r="K712" s="16" t="str">
        <x:f>IF(I712="","Active","Exited")</x:f>
        <x:v>Active</x:v>
      </x:c>
      <x:c r="L712" s="16" t="n">
        <x:f>(YEAR(IF(I712="",TODAY(),I712))-YEAR(H712))*12+MONTH(IF(I712="",TODAY(),I712))-MONTH(H712)</x:f>
        <x:v>5</x:v>
      </x:c>
      <x:c r="M712" s="36" t="n">
        <x:f>DATE(YEAR(H712),MONTH(H712),1)</x:f>
        <x:v>46054</x:v>
      </x:c>
      <x:c r="N712" s="36" t="str">
        <x:f>IF(I712="","",DATE(YEAR(I712),MONTH(I712),1))</x:f>
      </x:c>
    </x:row>
    <x:row r="713">
      <x:c r="A713" s="16" t="str">
        <x:v>HG-01712</x:v>
      </x:c>
      <x:c r="B713" s="16" t="str">
        <x:v>Nayeem Chowdhury</x:v>
      </x:c>
      <x:c r="C713" s="16" t="str">
        <x:v>Male</x:v>
      </x:c>
      <x:c r="D713" s="16" t="str">
        <x:v>Sales &amp; Marketing</x:v>
      </x:c>
      <x:c r="E713" s="16" t="str">
        <x:v>Marketing Officer</x:v>
      </x:c>
      <x:c r="F713" s="16" t="str">
        <x:v>Gazipur Plant</x:v>
      </x:c>
      <x:c r="G713" s="16" t="str">
        <x:v>Contract</x:v>
      </x:c>
      <x:c r="H713" s="35" t="n">
        <x:v>46070</x:v>
      </x:c>
      <x:c r="I713" s="35"/>
      <x:c r="J713" s="16" t="str"/>
      <x:c r="K713" s="16" t="str">
        <x:f>IF(I713="","Active","Exited")</x:f>
        <x:v>Active</x:v>
      </x:c>
      <x:c r="L713" s="16" t="n">
        <x:f>(YEAR(IF(I713="",TODAY(),I713))-YEAR(H713))*12+MONTH(IF(I713="",TODAY(),I713))-MONTH(H713)</x:f>
        <x:v>5</x:v>
      </x:c>
      <x:c r="M713" s="36" t="n">
        <x:f>DATE(YEAR(H713),MONTH(H713),1)</x:f>
        <x:v>46054</x:v>
      </x:c>
      <x:c r="N713" s="36" t="str">
        <x:f>IF(I713="","",DATE(YEAR(I713),MONTH(I713),1))</x:f>
      </x:c>
    </x:row>
    <x:row r="714">
      <x:c r="A714" s="16" t="str">
        <x:v>HG-01713</x:v>
      </x:c>
      <x:c r="B714" s="16" t="str">
        <x:v>Asif Uddin</x:v>
      </x:c>
      <x:c r="C714" s="16" t="str">
        <x:v>Male</x:v>
      </x:c>
      <x:c r="D714" s="16" t="str">
        <x:v>Production</x:v>
      </x:c>
      <x:c r="E714" s="16" t="str">
        <x:v>Senior Operator</x:v>
      </x:c>
      <x:c r="F714" s="16" t="str">
        <x:v>Gazipur Plant</x:v>
      </x:c>
      <x:c r="G714" s="16" t="str">
        <x:v>Probation</x:v>
      </x:c>
      <x:c r="H714" s="35" t="n">
        <x:v>46055</x:v>
      </x:c>
      <x:c r="I714" s="35"/>
      <x:c r="J714" s="16" t="str"/>
      <x:c r="K714" s="16" t="str">
        <x:f>IF(I714="","Active","Exited")</x:f>
        <x:v>Active</x:v>
      </x:c>
      <x:c r="L714" s="16" t="n">
        <x:f>(YEAR(IF(I714="",TODAY(),I714))-YEAR(H714))*12+MONTH(IF(I714="",TODAY(),I714))-MONTH(H714)</x:f>
        <x:v>5</x:v>
      </x:c>
      <x:c r="M714" s="36" t="n">
        <x:f>DATE(YEAR(H714),MONTH(H714),1)</x:f>
        <x:v>46054</x:v>
      </x:c>
      <x:c r="N714" s="36" t="str">
        <x:f>IF(I714="","",DATE(YEAR(I714),MONTH(I714),1))</x:f>
      </x:c>
    </x:row>
    <x:row r="715">
      <x:c r="A715" s="16" t="str">
        <x:v>HG-01714</x:v>
      </x:c>
      <x:c r="B715" s="16" t="str">
        <x:v>Jannat Khan</x:v>
      </x:c>
      <x:c r="C715" s="16" t="str">
        <x:v>Female</x:v>
      </x:c>
      <x:c r="D715" s="16" t="str">
        <x:v>Administration</x:v>
      </x:c>
      <x:c r="E715" s="16" t="str">
        <x:v>Admin Assistant</x:v>
      </x:c>
      <x:c r="F715" s="16" t="str">
        <x:v>Narayanganj Plant</x:v>
      </x:c>
      <x:c r="G715" s="16" t="str">
        <x:v>Permanent</x:v>
      </x:c>
      <x:c r="H715" s="35" t="n">
        <x:v>46108</x:v>
      </x:c>
      <x:c r="I715" s="35"/>
      <x:c r="J715" s="16" t="str"/>
      <x:c r="K715" s="16" t="str">
        <x:f>IF(I715="","Active","Exited")</x:f>
        <x:v>Active</x:v>
      </x:c>
      <x:c r="L715" s="16" t="n">
        <x:f>(YEAR(IF(I715="",TODAY(),I715))-YEAR(H715))*12+MONTH(IF(I715="",TODAY(),I715))-MONTH(H715)</x:f>
        <x:v>4</x:v>
      </x:c>
      <x:c r="M715" s="36" t="n">
        <x:f>DATE(YEAR(H715),MONTH(H715),1)</x:f>
        <x:v>46082</x:v>
      </x:c>
      <x:c r="N715" s="36" t="str">
        <x:f>IF(I715="","",DATE(YEAR(I715),MONTH(I715),1))</x:f>
      </x:c>
    </x:row>
    <x:row r="716">
      <x:c r="A716" s="16" t="str">
        <x:v>HG-01715</x:v>
      </x:c>
      <x:c r="B716" s="16" t="str">
        <x:v>Sharmin Kabir</x:v>
      </x:c>
      <x:c r="C716" s="16" t="str">
        <x:v>Female</x:v>
      </x:c>
      <x:c r="D716" s="16" t="str">
        <x:v>Supply Chain</x:v>
      </x:c>
      <x:c r="E716" s="16" t="str">
        <x:v>Assistant Manager - Supply Chain</x:v>
      </x:c>
      <x:c r="F716" s="16" t="str">
        <x:v>Gazipur Plant</x:v>
      </x:c>
      <x:c r="G716" s="16" t="str">
        <x:v>Permanent</x:v>
      </x:c>
      <x:c r="H716" s="35" t="n">
        <x:v>46107</x:v>
      </x:c>
      <x:c r="I716" s="35"/>
      <x:c r="J716" s="16" t="str"/>
      <x:c r="K716" s="16" t="str">
        <x:f>IF(I716="","Active","Exited")</x:f>
        <x:v>Active</x:v>
      </x:c>
      <x:c r="L716" s="16" t="n">
        <x:f>(YEAR(IF(I716="",TODAY(),I716))-YEAR(H716))*12+MONTH(IF(I716="",TODAY(),I716))-MONTH(H716)</x:f>
        <x:v>4</x:v>
      </x:c>
      <x:c r="M716" s="36" t="n">
        <x:f>DATE(YEAR(H716),MONTH(H716),1)</x:f>
        <x:v>46082</x:v>
      </x:c>
      <x:c r="N716" s="36" t="str">
        <x:f>IF(I716="","",DATE(YEAR(I716),MONTH(I716),1))</x:f>
      </x:c>
    </x:row>
    <x:row r="717">
      <x:c r="A717" s="16" t="str">
        <x:v>HG-01716</x:v>
      </x:c>
      <x:c r="B717" s="16" t="str">
        <x:v>Shakil Hasan</x:v>
      </x:c>
      <x:c r="C717" s="16" t="str">
        <x:v>Male</x:v>
      </x:c>
      <x:c r="D717" s="16" t="str">
        <x:v>Human Resources</x:v>
      </x:c>
      <x:c r="E717" s="16" t="str">
        <x:v>Assistant Manager - HR</x:v>
      </x:c>
      <x:c r="F717" s="16" t="str">
        <x:v>Dhaka Head Office</x:v>
      </x:c>
      <x:c r="G717" s="16" t="str">
        <x:v>Contract</x:v>
      </x:c>
      <x:c r="H717" s="35" t="n">
        <x:v>46100</x:v>
      </x:c>
      <x:c r="I717" s="35"/>
      <x:c r="J717" s="16" t="str"/>
      <x:c r="K717" s="16" t="str">
        <x:f>IF(I717="","Active","Exited")</x:f>
        <x:v>Active</x:v>
      </x:c>
      <x:c r="L717" s="16" t="n">
        <x:f>(YEAR(IF(I717="",TODAY(),I717))-YEAR(H717))*12+MONTH(IF(I717="",TODAY(),I717))-MONTH(H717)</x:f>
        <x:v>4</x:v>
      </x:c>
      <x:c r="M717" s="36" t="n">
        <x:f>DATE(YEAR(H717),MONTH(H717),1)</x:f>
        <x:v>46082</x:v>
      </x:c>
      <x:c r="N717" s="36" t="str">
        <x:f>IF(I717="","",DATE(YEAR(I717),MONTH(I717),1))</x:f>
      </x:c>
    </x:row>
    <x:row r="718">
      <x:c r="A718" s="16" t="str">
        <x:v>HG-01717</x:v>
      </x:c>
      <x:c r="B718" s="16" t="str">
        <x:v>Nayeem Miah</x:v>
      </x:c>
      <x:c r="C718" s="16" t="str">
        <x:v>Male</x:v>
      </x:c>
      <x:c r="D718" s="16" t="str">
        <x:v>Human Resources</x:v>
      </x:c>
      <x:c r="E718" s="16" t="str">
        <x:v>HR Business Executive</x:v>
      </x:c>
      <x:c r="F718" s="16" t="str">
        <x:v>Dhaka Head Office</x:v>
      </x:c>
      <x:c r="G718" s="16" t="str">
        <x:v>Probation</x:v>
      </x:c>
      <x:c r="H718" s="35" t="n">
        <x:v>46094</x:v>
      </x:c>
      <x:c r="I718" s="35"/>
      <x:c r="J718" s="16" t="str"/>
      <x:c r="K718" s="16" t="str">
        <x:f>IF(I718="","Active","Exited")</x:f>
        <x:v>Active</x:v>
      </x:c>
      <x:c r="L718" s="16" t="n">
        <x:f>(YEAR(IF(I718="",TODAY(),I718))-YEAR(H718))*12+MONTH(IF(I718="",TODAY(),I718))-MONTH(H718)</x:f>
        <x:v>4</x:v>
      </x:c>
      <x:c r="M718" s="36" t="n">
        <x:f>DATE(YEAR(H718),MONTH(H718),1)</x:f>
        <x:v>46082</x:v>
      </x:c>
      <x:c r="N718" s="36" t="str">
        <x:f>IF(I718="","",DATE(YEAR(I718),MONTH(I718),1))</x:f>
      </x:c>
    </x:row>
    <x:row r="719">
      <x:c r="A719" s="16" t="str">
        <x:v>HG-01718</x:v>
      </x:c>
      <x:c r="B719" s="16" t="str">
        <x:v>Arif Alam</x:v>
      </x:c>
      <x:c r="C719" s="16" t="str">
        <x:v>Male</x:v>
      </x:c>
      <x:c r="D719" s="16" t="str">
        <x:v>Supply Chain</x:v>
      </x:c>
      <x:c r="E719" s="16" t="str">
        <x:v>Procurement Executive</x:v>
      </x:c>
      <x:c r="F719" s="16" t="str">
        <x:v>Gazipur Plant</x:v>
      </x:c>
      <x:c r="G719" s="16" t="str">
        <x:v>Permanent</x:v>
      </x:c>
      <x:c r="H719" s="35" t="n">
        <x:v>46090</x:v>
      </x:c>
      <x:c r="I719" s="35"/>
      <x:c r="J719" s="16" t="str"/>
      <x:c r="K719" s="16" t="str">
        <x:f>IF(I719="","Active","Exited")</x:f>
        <x:v>Active</x:v>
      </x:c>
      <x:c r="L719" s="16" t="n">
        <x:f>(YEAR(IF(I719="",TODAY(),I719))-YEAR(H719))*12+MONTH(IF(I719="",TODAY(),I719))-MONTH(H719)</x:f>
        <x:v>4</x:v>
      </x:c>
      <x:c r="M719" s="36" t="n">
        <x:f>DATE(YEAR(H719),MONTH(H719),1)</x:f>
        <x:v>46082</x:v>
      </x:c>
      <x:c r="N719" s="36" t="str">
        <x:f>IF(I719="","",DATE(YEAR(I719),MONTH(I719),1))</x:f>
      </x:c>
    </x:row>
    <x:row r="720">
      <x:c r="A720" s="16" t="str">
        <x:v>HG-01719</x:v>
      </x:c>
      <x:c r="B720" s="16" t="str">
        <x:v>Rashed Chowdhury</x:v>
      </x:c>
      <x:c r="C720" s="16" t="str">
        <x:v>Male</x:v>
      </x:c>
      <x:c r="D720" s="16" t="str">
        <x:v>Supply Chain</x:v>
      </x:c>
      <x:c r="E720" s="16" t="str">
        <x:v>Senior Supply Chain Executive</x:v>
      </x:c>
      <x:c r="F720" s="16" t="str">
        <x:v>Dhaka Head Office</x:v>
      </x:c>
      <x:c r="G720" s="16" t="str">
        <x:v>Permanent</x:v>
      </x:c>
      <x:c r="H720" s="35" t="n">
        <x:v>46100</x:v>
      </x:c>
      <x:c r="I720" s="35"/>
      <x:c r="J720" s="16" t="str"/>
      <x:c r="K720" s="16" t="str">
        <x:f>IF(I720="","Active","Exited")</x:f>
        <x:v>Active</x:v>
      </x:c>
      <x:c r="L720" s="16" t="n">
        <x:f>(YEAR(IF(I720="",TODAY(),I720))-YEAR(H720))*12+MONTH(IF(I720="",TODAY(),I720))-MONTH(H720)</x:f>
        <x:v>4</x:v>
      </x:c>
      <x:c r="M720" s="36" t="n">
        <x:f>DATE(YEAR(H720),MONTH(H720),1)</x:f>
        <x:v>46082</x:v>
      </x:c>
      <x:c r="N720" s="36" t="str">
        <x:f>IF(I720="","",DATE(YEAR(I720),MONTH(I720),1))</x:f>
      </x:c>
    </x:row>
    <x:row r="721">
      <x:c r="A721" s="16" t="str">
        <x:v>HG-01720</x:v>
      </x:c>
      <x:c r="B721" s="16" t="str">
        <x:v>Fahim Hasan</x:v>
      </x:c>
      <x:c r="C721" s="16" t="str">
        <x:v>Male</x:v>
      </x:c>
      <x:c r="D721" s="16" t="str">
        <x:v>Administration</x:v>
      </x:c>
      <x:c r="E721" s="16" t="str">
        <x:v>Admin Executive</x:v>
      </x:c>
      <x:c r="F721" s="16" t="str">
        <x:v>Dhaka Head Office</x:v>
      </x:c>
      <x:c r="G721" s="16" t="str">
        <x:v>Permanent</x:v>
      </x:c>
      <x:c r="H721" s="35" t="n">
        <x:v>46087</x:v>
      </x:c>
      <x:c r="I721" s="35"/>
      <x:c r="J721" s="16" t="str"/>
      <x:c r="K721" s="16" t="str">
        <x:f>IF(I721="","Active","Exited")</x:f>
        <x:v>Active</x:v>
      </x:c>
      <x:c r="L721" s="16" t="n">
        <x:f>(YEAR(IF(I721="",TODAY(),I721))-YEAR(H721))*12+MONTH(IF(I721="",TODAY(),I721))-MONTH(H721)</x:f>
        <x:v>4</x:v>
      </x:c>
      <x:c r="M721" s="36" t="n">
        <x:f>DATE(YEAR(H721),MONTH(H721),1)</x:f>
        <x:v>46082</x:v>
      </x:c>
      <x:c r="N721" s="36" t="str">
        <x:f>IF(I721="","",DATE(YEAR(I721),MONTH(I721),1))</x:f>
      </x:c>
    </x:row>
    <x:row r="722">
      <x:c r="A722" s="16" t="str">
        <x:v>HG-01721</x:v>
      </x:c>
      <x:c r="B722" s="16" t="str">
        <x:v>Hasan Akter</x:v>
      </x:c>
      <x:c r="C722" s="16" t="str">
        <x:v>Male</x:v>
      </x:c>
      <x:c r="D722" s="16" t="str">
        <x:v>Administration</x:v>
      </x:c>
      <x:c r="E722" s="16" t="str">
        <x:v>Senior Admin Executive</x:v>
      </x:c>
      <x:c r="F722" s="16" t="str">
        <x:v>Dhaka Head Office</x:v>
      </x:c>
      <x:c r="G722" s="16" t="str">
        <x:v>Permanent</x:v>
      </x:c>
      <x:c r="H722" s="35" t="n">
        <x:v>46110</x:v>
      </x:c>
      <x:c r="I722" s="35"/>
      <x:c r="J722" s="16" t="str"/>
      <x:c r="K722" s="16" t="str">
        <x:f>IF(I722="","Active","Exited")</x:f>
        <x:v>Active</x:v>
      </x:c>
      <x:c r="L722" s="16" t="n">
        <x:f>(YEAR(IF(I722="",TODAY(),I722))-YEAR(H722))*12+MONTH(IF(I722="",TODAY(),I722))-MONTH(H722)</x:f>
        <x:v>4</x:v>
      </x:c>
      <x:c r="M722" s="36" t="n">
        <x:f>DATE(YEAR(H722),MONTH(H722),1)</x:f>
        <x:v>46082</x:v>
      </x:c>
      <x:c r="N722" s="36" t="str">
        <x:f>IF(I722="","",DATE(YEAR(I722),MONTH(I722),1))</x:f>
      </x:c>
    </x:row>
    <x:row r="723">
      <x:c r="A723" s="16" t="str">
        <x:v>HG-01722</x:v>
      </x:c>
      <x:c r="B723" s="16" t="str">
        <x:v>Mehedi Uddin</x:v>
      </x:c>
      <x:c r="C723" s="16" t="str">
        <x:v>Male</x:v>
      </x:c>
      <x:c r="D723" s="16" t="str">
        <x:v>Finance &amp; Accounts</x:v>
      </x:c>
      <x:c r="E723" s="16" t="str">
        <x:v>Finance Officer</x:v>
      </x:c>
      <x:c r="F723" s="16" t="str">
        <x:v>Narayanganj Plant</x:v>
      </x:c>
      <x:c r="G723" s="16" t="str">
        <x:v>Permanent</x:v>
      </x:c>
      <x:c r="H723" s="35" t="n">
        <x:v>46087</x:v>
      </x:c>
      <x:c r="I723" s="35"/>
      <x:c r="J723" s="16" t="str"/>
      <x:c r="K723" s="16" t="str">
        <x:f>IF(I723="","Active","Exited")</x:f>
        <x:v>Active</x:v>
      </x:c>
      <x:c r="L723" s="16" t="n">
        <x:f>(YEAR(IF(I723="",TODAY(),I723))-YEAR(H723))*12+MONTH(IF(I723="",TODAY(),I723))-MONTH(H723)</x:f>
        <x:v>4</x:v>
      </x:c>
      <x:c r="M723" s="36" t="n">
        <x:f>DATE(YEAR(H723),MONTH(H723),1)</x:f>
        <x:v>46082</x:v>
      </x:c>
      <x:c r="N723" s="36" t="str">
        <x:f>IF(I723="","",DATE(YEAR(I723),MONTH(I723),1))</x:f>
      </x:c>
    </x:row>
    <x:row r="724">
      <x:c r="A724" s="16" t="str">
        <x:v>HG-01723</x:v>
      </x:c>
      <x:c r="B724" s="16" t="str">
        <x:v>Rafi Karim</x:v>
      </x:c>
      <x:c r="C724" s="16" t="str">
        <x:v>Male</x:v>
      </x:c>
      <x:c r="D724" s="16" t="str">
        <x:v>Sales &amp; Marketing</x:v>
      </x:c>
      <x:c r="E724" s="16" t="str">
        <x:v>Assistant Manager - Sales</x:v>
      </x:c>
      <x:c r="F724" s="16" t="str">
        <x:v>Chattogram Office</x:v>
      </x:c>
      <x:c r="G724" s="16" t="str">
        <x:v>Contract</x:v>
      </x:c>
      <x:c r="H724" s="35" t="n">
        <x:v>46094</x:v>
      </x:c>
      <x:c r="I724" s="35"/>
      <x:c r="J724" s="16" t="str"/>
      <x:c r="K724" s="16" t="str">
        <x:f>IF(I724="","Active","Exited")</x:f>
        <x:v>Active</x:v>
      </x:c>
      <x:c r="L724" s="16" t="n">
        <x:f>(YEAR(IF(I724="",TODAY(),I724))-YEAR(H724))*12+MONTH(IF(I724="",TODAY(),I724))-MONTH(H724)</x:f>
        <x:v>4</x:v>
      </x:c>
      <x:c r="M724" s="36" t="n">
        <x:f>DATE(YEAR(H724),MONTH(H724),1)</x:f>
        <x:v>46082</x:v>
      </x:c>
      <x:c r="N724" s="36" t="str">
        <x:f>IF(I724="","",DATE(YEAR(I724),MONTH(I724),1))</x:f>
      </x:c>
    </x:row>
    <x:row r="725">
      <x:c r="A725" s="16" t="str">
        <x:v>HG-01724</x:v>
      </x:c>
      <x:c r="B725" s="16" t="str">
        <x:v>Rakib Alam</x:v>
      </x:c>
      <x:c r="C725" s="16" t="str">
        <x:v>Male</x:v>
      </x:c>
      <x:c r="D725" s="16" t="str">
        <x:v>Production</x:v>
      </x:c>
      <x:c r="E725" s="16" t="str">
        <x:v>Line Supervisor</x:v>
      </x:c>
      <x:c r="F725" s="16" t="str">
        <x:v>Gazipur Plant</x:v>
      </x:c>
      <x:c r="G725" s="16" t="str">
        <x:v>Permanent</x:v>
      </x:c>
      <x:c r="H725" s="35" t="n">
        <x:v>46093</x:v>
      </x:c>
      <x:c r="I725" s="35"/>
      <x:c r="J725" s="16" t="str"/>
      <x:c r="K725" s="16" t="str">
        <x:f>IF(I725="","Active","Exited")</x:f>
        <x:v>Active</x:v>
      </x:c>
      <x:c r="L725" s="16" t="n">
        <x:f>(YEAR(IF(I725="",TODAY(),I725))-YEAR(H725))*12+MONTH(IF(I725="",TODAY(),I725))-MONTH(H725)</x:f>
        <x:v>4</x:v>
      </x:c>
      <x:c r="M725" s="36" t="n">
        <x:f>DATE(YEAR(H725),MONTH(H725),1)</x:f>
        <x:v>46082</x:v>
      </x:c>
      <x:c r="N725" s="36" t="str">
        <x:f>IF(I725="","",DATE(YEAR(I725),MONTH(I725),1))</x:f>
      </x:c>
    </x:row>
    <x:row r="726">
      <x:c r="A726" s="16" t="str">
        <x:v>HG-01725</x:v>
      </x:c>
      <x:c r="B726" s="16" t="str">
        <x:v>Foysal Alam</x:v>
      </x:c>
      <x:c r="C726" s="16" t="str">
        <x:v>Male</x:v>
      </x:c>
      <x:c r="D726" s="16" t="str">
        <x:v>Supply Chain</x:v>
      </x:c>
      <x:c r="E726" s="16" t="str">
        <x:v>Logistics Executive</x:v>
      </x:c>
      <x:c r="F726" s="16" t="str">
        <x:v>Chattogram Office</x:v>
      </x:c>
      <x:c r="G726" s="16" t="str">
        <x:v>Contract</x:v>
      </x:c>
      <x:c r="H726" s="35" t="n">
        <x:v>46087</x:v>
      </x:c>
      <x:c r="I726" s="35"/>
      <x:c r="J726" s="16" t="str"/>
      <x:c r="K726" s="16" t="str">
        <x:f>IF(I726="","Active","Exited")</x:f>
        <x:v>Active</x:v>
      </x:c>
      <x:c r="L726" s="16" t="n">
        <x:f>(YEAR(IF(I726="",TODAY(),I726))-YEAR(H726))*12+MONTH(IF(I726="",TODAY(),I726))-MONTH(H726)</x:f>
        <x:v>4</x:v>
      </x:c>
      <x:c r="M726" s="36" t="n">
        <x:f>DATE(YEAR(H726),MONTH(H726),1)</x:f>
        <x:v>46082</x:v>
      </x:c>
      <x:c r="N726" s="36" t="str">
        <x:f>IF(I726="","",DATE(YEAR(I726),MONTH(I726),1))</x:f>
      </x:c>
    </x:row>
    <x:row r="727">
      <x:c r="A727" s="16" t="str">
        <x:v>HG-01726</x:v>
      </x:c>
      <x:c r="B727" s="16" t="str">
        <x:v>Asif Karim</x:v>
      </x:c>
      <x:c r="C727" s="16" t="str">
        <x:v>Male</x:v>
      </x:c>
      <x:c r="D727" s="16" t="str">
        <x:v>Production</x:v>
      </x:c>
      <x:c r="E727" s="16" t="str">
        <x:v>Assistant Manager - Production</x:v>
      </x:c>
      <x:c r="F727" s="16" t="str">
        <x:v>Gazipur Plant</x:v>
      </x:c>
      <x:c r="G727" s="16" t="str">
        <x:v>Permanent</x:v>
      </x:c>
      <x:c r="H727" s="35" t="n">
        <x:v>46131</x:v>
      </x:c>
      <x:c r="I727" s="35"/>
      <x:c r="J727" s="16" t="str"/>
      <x:c r="K727" s="16" t="str">
        <x:f>IF(I727="","Active","Exited")</x:f>
        <x:v>Active</x:v>
      </x:c>
      <x:c r="L727" s="16" t="n">
        <x:f>(YEAR(IF(I727="",TODAY(),I727))-YEAR(H727))*12+MONTH(IF(I727="",TODAY(),I727))-MONTH(H727)</x:f>
        <x:v>3</x:v>
      </x:c>
      <x:c r="M727" s="36" t="n">
        <x:f>DATE(YEAR(H727),MONTH(H727),1)</x:f>
        <x:v>46113</x:v>
      </x:c>
      <x:c r="N727" s="36" t="str">
        <x:f>IF(I727="","",DATE(YEAR(I727),MONTH(I727),1))</x:f>
      </x:c>
    </x:row>
    <x:row r="728">
      <x:c r="A728" s="16" t="str">
        <x:v>HG-01727</x:v>
      </x:c>
      <x:c r="B728" s="16" t="str">
        <x:v>Ayesha Rahman</x:v>
      </x:c>
      <x:c r="C728" s="16" t="str">
        <x:v>Female</x:v>
      </x:c>
      <x:c r="D728" s="16" t="str">
        <x:v>Administration</x:v>
      </x:c>
      <x:c r="E728" s="16" t="str">
        <x:v>Admin Assistant</x:v>
      </x:c>
      <x:c r="F728" s="16" t="str">
        <x:v>Narayanganj Plant</x:v>
      </x:c>
      <x:c r="G728" s="16" t="str">
        <x:v>Permanent</x:v>
      </x:c>
      <x:c r="H728" s="35" t="n">
        <x:v>46128</x:v>
      </x:c>
      <x:c r="I728" s="35"/>
      <x:c r="J728" s="16" t="str"/>
      <x:c r="K728" s="16" t="str">
        <x:f>IF(I728="","Active","Exited")</x:f>
        <x:v>Active</x:v>
      </x:c>
      <x:c r="L728" s="16" t="n">
        <x:f>(YEAR(IF(I728="",TODAY(),I728))-YEAR(H728))*12+MONTH(IF(I728="",TODAY(),I728))-MONTH(H728)</x:f>
        <x:v>3</x:v>
      </x:c>
      <x:c r="M728" s="36" t="n">
        <x:f>DATE(YEAR(H728),MONTH(H728),1)</x:f>
        <x:v>46113</x:v>
      </x:c>
      <x:c r="N728" s="36" t="str">
        <x:f>IF(I728="","",DATE(YEAR(I728),MONTH(I728),1))</x:f>
      </x:c>
    </x:row>
    <x:row r="729">
      <x:c r="A729" s="16" t="str">
        <x:v>HG-01728</x:v>
      </x:c>
      <x:c r="B729" s="16" t="str">
        <x:v>Mahmud Begum</x:v>
      </x:c>
      <x:c r="C729" s="16" t="str">
        <x:v>Male</x:v>
      </x:c>
      <x:c r="D729" s="16" t="str">
        <x:v>Administration</x:v>
      </x:c>
      <x:c r="E729" s="16" t="str">
        <x:v>Admin Assistant</x:v>
      </x:c>
      <x:c r="F729" s="16" t="str">
        <x:v>Dhaka Head Office</x:v>
      </x:c>
      <x:c r="G729" s="16" t="str">
        <x:v>Permanent</x:v>
      </x:c>
      <x:c r="H729" s="35" t="n">
        <x:v>46131</x:v>
      </x:c>
      <x:c r="I729" s="35"/>
      <x:c r="J729" s="16" t="str"/>
      <x:c r="K729" s="16" t="str">
        <x:f>IF(I729="","Active","Exited")</x:f>
        <x:v>Active</x:v>
      </x:c>
      <x:c r="L729" s="16" t="n">
        <x:f>(YEAR(IF(I729="",TODAY(),I729))-YEAR(H729))*12+MONTH(IF(I729="",TODAY(),I729))-MONTH(H729)</x:f>
        <x:v>3</x:v>
      </x:c>
      <x:c r="M729" s="36" t="n">
        <x:f>DATE(YEAR(H729),MONTH(H729),1)</x:f>
        <x:v>46113</x:v>
      </x:c>
      <x:c r="N729" s="36" t="str">
        <x:f>IF(I729="","",DATE(YEAR(I729),MONTH(I729),1))</x:f>
      </x:c>
    </x:row>
    <x:row r="730">
      <x:c r="A730" s="16" t="str">
        <x:v>HG-01729</x:v>
      </x:c>
      <x:c r="B730" s="16" t="str">
        <x:v>Nazmul Kabir</x:v>
      </x:c>
      <x:c r="C730" s="16" t="str">
        <x:v>Male</x:v>
      </x:c>
      <x:c r="D730" s="16" t="str">
        <x:v>Sales &amp; Marketing</x:v>
      </x:c>
      <x:c r="E730" s="16" t="str">
        <x:v>Sales Executive</x:v>
      </x:c>
      <x:c r="F730" s="16" t="str">
        <x:v>Narayanganj Plant</x:v>
      </x:c>
      <x:c r="G730" s="16" t="str">
        <x:v>Contract</x:v>
      </x:c>
      <x:c r="H730" s="35" t="n">
        <x:v>46117</x:v>
      </x:c>
      <x:c r="I730" s="35"/>
      <x:c r="J730" s="16" t="str"/>
      <x:c r="K730" s="16" t="str">
        <x:f>IF(I730="","Active","Exited")</x:f>
        <x:v>Active</x:v>
      </x:c>
      <x:c r="L730" s="16" t="n">
        <x:f>(YEAR(IF(I730="",TODAY(),I730))-YEAR(H730))*12+MONTH(IF(I730="",TODAY(),I730))-MONTH(H730)</x:f>
        <x:v>3</x:v>
      </x:c>
      <x:c r="M730" s="36" t="n">
        <x:f>DATE(YEAR(H730),MONTH(H730),1)</x:f>
        <x:v>46113</x:v>
      </x:c>
      <x:c r="N730" s="36" t="str">
        <x:f>IF(I730="","",DATE(YEAR(I730),MONTH(I730),1))</x:f>
      </x:c>
    </x:row>
    <x:row r="731">
      <x:c r="A731" s="16" t="str">
        <x:v>HG-01730</x:v>
      </x:c>
      <x:c r="B731" s="16" t="str">
        <x:v>Imran Rahman</x:v>
      </x:c>
      <x:c r="C731" s="16" t="str">
        <x:v>Male</x:v>
      </x:c>
      <x:c r="D731" s="16" t="str">
        <x:v>Administration</x:v>
      </x:c>
      <x:c r="E731" s="16" t="str">
        <x:v>Admin Executive</x:v>
      </x:c>
      <x:c r="F731" s="16" t="str">
        <x:v>Dhaka Head Office</x:v>
      </x:c>
      <x:c r="G731" s="16" t="str">
        <x:v>Permanent</x:v>
      </x:c>
      <x:c r="H731" s="35" t="n">
        <x:v>46128</x:v>
      </x:c>
      <x:c r="I731" s="35"/>
      <x:c r="J731" s="16" t="str"/>
      <x:c r="K731" s="16" t="str">
        <x:f>IF(I731="","Active","Exited")</x:f>
        <x:v>Active</x:v>
      </x:c>
      <x:c r="L731" s="16" t="n">
        <x:f>(YEAR(IF(I731="",TODAY(),I731))-YEAR(H731))*12+MONTH(IF(I731="",TODAY(),I731))-MONTH(H731)</x:f>
        <x:v>3</x:v>
      </x:c>
      <x:c r="M731" s="36" t="n">
        <x:f>DATE(YEAR(H731),MONTH(H731),1)</x:f>
        <x:v>46113</x:v>
      </x:c>
      <x:c r="N731" s="36" t="str">
        <x:f>IF(I731="","",DATE(YEAR(I731),MONTH(I731),1))</x:f>
      </x:c>
    </x:row>
    <x:row r="732">
      <x:c r="A732" s="16" t="str">
        <x:v>HG-01731</x:v>
      </x:c>
      <x:c r="B732" s="16" t="str">
        <x:v>Hasan Begum</x:v>
      </x:c>
      <x:c r="C732" s="16" t="str">
        <x:v>Male</x:v>
      </x:c>
      <x:c r="D732" s="16" t="str">
        <x:v>Production</x:v>
      </x:c>
      <x:c r="E732" s="16" t="str">
        <x:v>Senior Operator</x:v>
      </x:c>
      <x:c r="F732" s="16" t="str">
        <x:v>Gazipur Plant</x:v>
      </x:c>
      <x:c r="G732" s="16" t="str">
        <x:v>Permanent</x:v>
      </x:c>
      <x:c r="H732" s="35" t="n">
        <x:v>46136</x:v>
      </x:c>
      <x:c r="I732" s="35"/>
      <x:c r="J732" s="16" t="str"/>
      <x:c r="K732" s="16" t="str">
        <x:f>IF(I732="","Active","Exited")</x:f>
        <x:v>Active</x:v>
      </x:c>
      <x:c r="L732" s="16" t="n">
        <x:f>(YEAR(IF(I732="",TODAY(),I732))-YEAR(H732))*12+MONTH(IF(I732="",TODAY(),I732))-MONTH(H732)</x:f>
        <x:v>3</x:v>
      </x:c>
      <x:c r="M732" s="36" t="n">
        <x:f>DATE(YEAR(H732),MONTH(H732),1)</x:f>
        <x:v>46113</x:v>
      </x:c>
      <x:c r="N732" s="36" t="str">
        <x:f>IF(I732="","",DATE(YEAR(I732),MONTH(I732),1))</x:f>
      </x:c>
    </x:row>
    <x:row r="733">
      <x:c r="A733" s="16" t="str">
        <x:v>HG-01732</x:v>
      </x:c>
      <x:c r="B733" s="16" t="str">
        <x:v>Rakib Begum</x:v>
      </x:c>
      <x:c r="C733" s="16" t="str">
        <x:v>Male</x:v>
      </x:c>
      <x:c r="D733" s="16" t="str">
        <x:v>Production</x:v>
      </x:c>
      <x:c r="E733" s="16" t="str">
        <x:v>Production Operator</x:v>
      </x:c>
      <x:c r="F733" s="16" t="str">
        <x:v>Gazipur Plant</x:v>
      </x:c>
      <x:c r="G733" s="16" t="str">
        <x:v>Permanent</x:v>
      </x:c>
      <x:c r="H733" s="35" t="n">
        <x:v>46136</x:v>
      </x:c>
      <x:c r="I733" s="35"/>
      <x:c r="J733" s="16" t="str"/>
      <x:c r="K733" s="16" t="str">
        <x:f>IF(I733="","Active","Exited")</x:f>
        <x:v>Active</x:v>
      </x:c>
      <x:c r="L733" s="16" t="n">
        <x:f>(YEAR(IF(I733="",TODAY(),I733))-YEAR(H733))*12+MONTH(IF(I733="",TODAY(),I733))-MONTH(H733)</x:f>
        <x:v>3</x:v>
      </x:c>
      <x:c r="M733" s="36" t="n">
        <x:f>DATE(YEAR(H733),MONTH(H733),1)</x:f>
        <x:v>46113</x:v>
      </x:c>
      <x:c r="N733" s="36" t="str">
        <x:f>IF(I733="","",DATE(YEAR(I733),MONTH(I733),1))</x:f>
      </x:c>
    </x:row>
    <x:row r="734">
      <x:c r="A734" s="16" t="str">
        <x:v>HG-01733</x:v>
      </x:c>
      <x:c r="B734" s="16" t="str">
        <x:v>Sajid Karim</x:v>
      </x:c>
      <x:c r="C734" s="16" t="str">
        <x:v>Male</x:v>
      </x:c>
      <x:c r="D734" s="16" t="str">
        <x:v>Production</x:v>
      </x:c>
      <x:c r="E734" s="16" t="str">
        <x:v>Line Supervisor</x:v>
      </x:c>
      <x:c r="F734" s="16" t="str">
        <x:v>Gazipur Plant</x:v>
      </x:c>
      <x:c r="G734" s="16" t="str">
        <x:v>Probation</x:v>
      </x:c>
      <x:c r="H734" s="35" t="n">
        <x:v>46138</x:v>
      </x:c>
      <x:c r="I734" s="35"/>
      <x:c r="J734" s="16" t="str"/>
      <x:c r="K734" s="16" t="str">
        <x:f>IF(I734="","Active","Exited")</x:f>
        <x:v>Active</x:v>
      </x:c>
      <x:c r="L734" s="16" t="n">
        <x:f>(YEAR(IF(I734="",TODAY(),I734))-YEAR(H734))*12+MONTH(IF(I734="",TODAY(),I734))-MONTH(H734)</x:f>
        <x:v>3</x:v>
      </x:c>
      <x:c r="M734" s="36" t="n">
        <x:f>DATE(YEAR(H734),MONTH(H734),1)</x:f>
        <x:v>46113</x:v>
      </x:c>
      <x:c r="N734" s="36" t="str">
        <x:f>IF(I734="","",DATE(YEAR(I734),MONTH(I734),1))</x:f>
      </x:c>
    </x:row>
    <x:row r="735">
      <x:c r="A735" s="16" t="str">
        <x:v>HG-01734</x:v>
      </x:c>
      <x:c r="B735" s="16" t="str">
        <x:v>Ayesha Alam</x:v>
      </x:c>
      <x:c r="C735" s="16" t="str">
        <x:v>Female</x:v>
      </x:c>
      <x:c r="D735" s="16" t="str">
        <x:v>Information Technology</x:v>
      </x:c>
      <x:c r="E735" s="16" t="str">
        <x:v>Assistant Manager - IT</x:v>
      </x:c>
      <x:c r="F735" s="16" t="str">
        <x:v>Narayanganj Plant</x:v>
      </x:c>
      <x:c r="G735" s="16" t="str">
        <x:v>Permanent</x:v>
      </x:c>
      <x:c r="H735" s="35" t="n">
        <x:v>46127</x:v>
      </x:c>
      <x:c r="I735" s="35"/>
      <x:c r="J735" s="16" t="str"/>
      <x:c r="K735" s="16" t="str">
        <x:f>IF(I735="","Active","Exited")</x:f>
        <x:v>Active</x:v>
      </x:c>
      <x:c r="L735" s="16" t="n">
        <x:f>(YEAR(IF(I735="",TODAY(),I735))-YEAR(H735))*12+MONTH(IF(I735="",TODAY(),I735))-MONTH(H735)</x:f>
        <x:v>3</x:v>
      </x:c>
      <x:c r="M735" s="36" t="n">
        <x:f>DATE(YEAR(H735),MONTH(H735),1)</x:f>
        <x:v>46113</x:v>
      </x:c>
      <x:c r="N735" s="36" t="str">
        <x:f>IF(I735="","",DATE(YEAR(I735),MONTH(I735),1))</x:f>
      </x:c>
    </x:row>
    <x:row r="736">
      <x:c r="A736" s="16" t="str">
        <x:v>HG-01735</x:v>
      </x:c>
      <x:c r="B736" s="16" t="str">
        <x:v>Sumaiya Khan</x:v>
      </x:c>
      <x:c r="C736" s="16" t="str">
        <x:v>Female</x:v>
      </x:c>
      <x:c r="D736" s="16" t="str">
        <x:v>Supply Chain</x:v>
      </x:c>
      <x:c r="E736" s="16" t="str">
        <x:v>Inventory Officer</x:v>
      </x:c>
      <x:c r="F736" s="16" t="str">
        <x:v>Gazipur Plant</x:v>
      </x:c>
      <x:c r="G736" s="16" t="str">
        <x:v>Permanent</x:v>
      </x:c>
      <x:c r="H736" s="35" t="n">
        <x:v>46125</x:v>
      </x:c>
      <x:c r="I736" s="35"/>
      <x:c r="J736" s="16" t="str"/>
      <x:c r="K736" s="16" t="str">
        <x:f>IF(I736="","Active","Exited")</x:f>
        <x:v>Active</x:v>
      </x:c>
      <x:c r="L736" s="16" t="n">
        <x:f>(YEAR(IF(I736="",TODAY(),I736))-YEAR(H736))*12+MONTH(IF(I736="",TODAY(),I736))-MONTH(H736)</x:f>
        <x:v>3</x:v>
      </x:c>
      <x:c r="M736" s="36" t="n">
        <x:f>DATE(YEAR(H736),MONTH(H736),1)</x:f>
        <x:v>46113</x:v>
      </x:c>
      <x:c r="N736" s="36" t="str">
        <x:f>IF(I736="","",DATE(YEAR(I736),MONTH(I736),1))</x:f>
      </x:c>
    </x:row>
    <x:row r="737">
      <x:c r="A737" s="16" t="str">
        <x:v>HG-01736</x:v>
      </x:c>
      <x:c r="B737" s="16" t="str">
        <x:v>Tanvir Karim</x:v>
      </x:c>
      <x:c r="C737" s="16" t="str">
        <x:v>Male</x:v>
      </x:c>
      <x:c r="D737" s="16" t="str">
        <x:v>Supply Chain</x:v>
      </x:c>
      <x:c r="E737" s="16" t="str">
        <x:v>Procurement Executive</x:v>
      </x:c>
      <x:c r="F737" s="16" t="str">
        <x:v>Gazipur Plant</x:v>
      </x:c>
      <x:c r="G737" s="16" t="str">
        <x:v>Contract</x:v>
      </x:c>
      <x:c r="H737" s="35" t="n">
        <x:v>46132</x:v>
      </x:c>
      <x:c r="I737" s="35"/>
      <x:c r="J737" s="16" t="str"/>
      <x:c r="K737" s="16" t="str">
        <x:f>IF(I737="","Active","Exited")</x:f>
        <x:v>Active</x:v>
      </x:c>
      <x:c r="L737" s="16" t="n">
        <x:f>(YEAR(IF(I737="",TODAY(),I737))-YEAR(H737))*12+MONTH(IF(I737="",TODAY(),I737))-MONTH(H737)</x:f>
        <x:v>3</x:v>
      </x:c>
      <x:c r="M737" s="36" t="n">
        <x:f>DATE(YEAR(H737),MONTH(H737),1)</x:f>
        <x:v>46113</x:v>
      </x:c>
      <x:c r="N737" s="36" t="str">
        <x:f>IF(I737="","",DATE(YEAR(I737),MONTH(I737),1))</x:f>
      </x:c>
    </x:row>
    <x:row r="738">
      <x:c r="A738" s="16" t="str">
        <x:v>HG-01737</x:v>
      </x:c>
      <x:c r="B738" s="16" t="str">
        <x:v>Nusrat Kabir</x:v>
      </x:c>
      <x:c r="C738" s="16" t="str">
        <x:v>Female</x:v>
      </x:c>
      <x:c r="D738" s="16" t="str">
        <x:v>Sales &amp; Marketing</x:v>
      </x:c>
      <x:c r="E738" s="16" t="str">
        <x:v>Marketing Officer</x:v>
      </x:c>
      <x:c r="F738" s="16" t="str">
        <x:v>Dhaka Head Office</x:v>
      </x:c>
      <x:c r="G738" s="16" t="str">
        <x:v>Probation</x:v>
      </x:c>
      <x:c r="H738" s="35" t="n">
        <x:v>46113</x:v>
      </x:c>
      <x:c r="I738" s="35"/>
      <x:c r="J738" s="16" t="str"/>
      <x:c r="K738" s="16" t="str">
        <x:f>IF(I738="","Active","Exited")</x:f>
        <x:v>Active</x:v>
      </x:c>
      <x:c r="L738" s="16" t="n">
        <x:f>(YEAR(IF(I738="",TODAY(),I738))-YEAR(H738))*12+MONTH(IF(I738="",TODAY(),I738))-MONTH(H738)</x:f>
        <x:v>3</x:v>
      </x:c>
      <x:c r="M738" s="36" t="n">
        <x:f>DATE(YEAR(H738),MONTH(H738),1)</x:f>
        <x:v>46113</x:v>
      </x:c>
      <x:c r="N738" s="36" t="str">
        <x:f>IF(I738="","",DATE(YEAR(I738),MONTH(I738),1))</x:f>
      </x:c>
    </x:row>
    <x:row r="739">
      <x:c r="A739" s="16" t="str">
        <x:v>HG-01738</x:v>
      </x:c>
      <x:c r="B739" s="16" t="str">
        <x:v>Sajid Hasan</x:v>
      </x:c>
      <x:c r="C739" s="16" t="str">
        <x:v>Male</x:v>
      </x:c>
      <x:c r="D739" s="16" t="str">
        <x:v>Production</x:v>
      </x:c>
      <x:c r="E739" s="16" t="str">
        <x:v>Production Operator</x:v>
      </x:c>
      <x:c r="F739" s="16" t="str">
        <x:v>Dhaka Head Office</x:v>
      </x:c>
      <x:c r="G739" s="16" t="str">
        <x:v>Permanent</x:v>
      </x:c>
      <x:c r="H739" s="35" t="n">
        <x:v>46140</x:v>
      </x:c>
      <x:c r="I739" s="35"/>
      <x:c r="J739" s="16" t="str"/>
      <x:c r="K739" s="16" t="str">
        <x:f>IF(I739="","Active","Exited")</x:f>
        <x:v>Active</x:v>
      </x:c>
      <x:c r="L739" s="16" t="n">
        <x:f>(YEAR(IF(I739="",TODAY(),I739))-YEAR(H739))*12+MONTH(IF(I739="",TODAY(),I739))-MONTH(H739)</x:f>
        <x:v>3</x:v>
      </x:c>
      <x:c r="M739" s="36" t="n">
        <x:f>DATE(YEAR(H739),MONTH(H739),1)</x:f>
        <x:v>46113</x:v>
      </x:c>
      <x:c r="N739" s="36" t="str">
        <x:f>IF(I739="","",DATE(YEAR(I739),MONTH(I739),1))</x:f>
      </x:c>
    </x:row>
    <x:row r="740">
      <x:c r="A740" s="16" t="str">
        <x:v>HG-01739</x:v>
      </x:c>
      <x:c r="B740" s="16" t="str">
        <x:v>Mehedi Rahman</x:v>
      </x:c>
      <x:c r="C740" s="16" t="str">
        <x:v>Male</x:v>
      </x:c>
      <x:c r="D740" s="16" t="str">
        <x:v>Finance &amp; Accounts</x:v>
      </x:c>
      <x:c r="E740" s="16" t="str">
        <x:v>Accounts Executive</x:v>
      </x:c>
      <x:c r="F740" s="16" t="str">
        <x:v>Dhaka Head Office</x:v>
      </x:c>
      <x:c r="G740" s="16" t="str">
        <x:v>Permanent</x:v>
      </x:c>
      <x:c r="H740" s="35" t="n">
        <x:v>46172</x:v>
      </x:c>
      <x:c r="I740" s="35"/>
      <x:c r="J740" s="16" t="str"/>
      <x:c r="K740" s="16" t="str">
        <x:f>IF(I740="","Active","Exited")</x:f>
        <x:v>Active</x:v>
      </x:c>
      <x:c r="L740" s="16" t="n">
        <x:f>(YEAR(IF(I740="",TODAY(),I740))-YEAR(H740))*12+MONTH(IF(I740="",TODAY(),I740))-MONTH(H740)</x:f>
        <x:v>2</x:v>
      </x:c>
      <x:c r="M740" s="36" t="n">
        <x:f>DATE(YEAR(H740),MONTH(H740),1)</x:f>
        <x:v>46143</x:v>
      </x:c>
      <x:c r="N740" s="36" t="str">
        <x:f>IF(I740="","",DATE(YEAR(I740),MONTH(I740),1))</x:f>
      </x:c>
    </x:row>
    <x:row r="741">
      <x:c r="A741" s="16" t="str">
        <x:v>HG-01740</x:v>
      </x:c>
      <x:c r="B741" s="16" t="str">
        <x:v>Jubayer Hossain</x:v>
      </x:c>
      <x:c r="C741" s="16" t="str">
        <x:v>Male</x:v>
      </x:c>
      <x:c r="D741" s="16" t="str">
        <x:v>Human Resources</x:v>
      </x:c>
      <x:c r="E741" s="16" t="str">
        <x:v>HR Assistant</x:v>
      </x:c>
      <x:c r="F741" s="16" t="str">
        <x:v>Dhaka Head Office</x:v>
      </x:c>
      <x:c r="G741" s="16" t="str">
        <x:v>Permanent</x:v>
      </x:c>
      <x:c r="H741" s="35" t="n">
        <x:v>46145</x:v>
      </x:c>
      <x:c r="I741" s="35"/>
      <x:c r="J741" s="16" t="str"/>
      <x:c r="K741" s="16" t="str">
        <x:f>IF(I741="","Active","Exited")</x:f>
        <x:v>Active</x:v>
      </x:c>
      <x:c r="L741" s="16" t="n">
        <x:f>(YEAR(IF(I741="",TODAY(),I741))-YEAR(H741))*12+MONTH(IF(I741="",TODAY(),I741))-MONTH(H741)</x:f>
        <x:v>2</x:v>
      </x:c>
      <x:c r="M741" s="36" t="n">
        <x:f>DATE(YEAR(H741),MONTH(H741),1)</x:f>
        <x:v>46143</x:v>
      </x:c>
      <x:c r="N741" s="36" t="str">
        <x:f>IF(I741="","",DATE(YEAR(I741),MONTH(I741),1))</x:f>
      </x:c>
    </x:row>
    <x:row r="742">
      <x:c r="A742" s="16" t="str">
        <x:v>HG-01741</x:v>
      </x:c>
      <x:c r="B742" s="16" t="str">
        <x:v>Tanvir Khan</x:v>
      </x:c>
      <x:c r="C742" s="16" t="str">
        <x:v>Male</x:v>
      </x:c>
      <x:c r="D742" s="16" t="str">
        <x:v>Administration</x:v>
      </x:c>
      <x:c r="E742" s="16" t="str">
        <x:v>Senior Admin Executive</x:v>
      </x:c>
      <x:c r="F742" s="16" t="str">
        <x:v>Dhaka Head Office</x:v>
      </x:c>
      <x:c r="G742" s="16" t="str">
        <x:v>Permanent</x:v>
      </x:c>
      <x:c r="H742" s="35" t="n">
        <x:v>46145</x:v>
      </x:c>
      <x:c r="I742" s="35" t="n">
        <x:v>46203</x:v>
      </x:c>
      <x:c r="J742" s="16" t="str">
        <x:v>Compensation &amp; Benefits</x:v>
      </x:c>
      <x:c r="K742" s="16" t="str">
        <x:f>IF(I742="","Active","Exited")</x:f>
        <x:v>Exited</x:v>
      </x:c>
      <x:c r="L742" s="16" t="n">
        <x:f>(YEAR(IF(I742="",TODAY(),I742))-YEAR(H742))*12+MONTH(IF(I742="",TODAY(),I742))-MONTH(H742)</x:f>
        <x:v>1</x:v>
      </x:c>
      <x:c r="M742" s="36" t="n">
        <x:f>DATE(YEAR(H742),MONTH(H742),1)</x:f>
        <x:v>46143</x:v>
      </x:c>
      <x:c r="N742" s="36" t="n">
        <x:f>IF(I742="","",DATE(YEAR(I742),MONTH(I742),1))</x:f>
        <x:v>46174</x:v>
      </x:c>
    </x:row>
    <x:row r="743">
      <x:c r="A743" s="16" t="str">
        <x:v>HG-01742</x:v>
      </x:c>
      <x:c r="B743" s="16" t="str">
        <x:v>Sajid Kabir</x:v>
      </x:c>
      <x:c r="C743" s="16" t="str">
        <x:v>Male</x:v>
      </x:c>
      <x:c r="D743" s="16" t="str">
        <x:v>Administration</x:v>
      </x:c>
      <x:c r="E743" s="16" t="str">
        <x:v>Facility Officer</x:v>
      </x:c>
      <x:c r="F743" s="16" t="str">
        <x:v>Dhaka Head Office</x:v>
      </x:c>
      <x:c r="G743" s="16" t="str">
        <x:v>Contract</x:v>
      </x:c>
      <x:c r="H743" s="35" t="n">
        <x:v>46168</x:v>
      </x:c>
      <x:c r="I743" s="35"/>
      <x:c r="J743" s="16" t="str"/>
      <x:c r="K743" s="16" t="str">
        <x:f>IF(I743="","Active","Exited")</x:f>
        <x:v>Active</x:v>
      </x:c>
      <x:c r="L743" s="16" t="n">
        <x:f>(YEAR(IF(I743="",TODAY(),I743))-YEAR(H743))*12+MONTH(IF(I743="",TODAY(),I743))-MONTH(H743)</x:f>
        <x:v>2</x:v>
      </x:c>
      <x:c r="M743" s="36" t="n">
        <x:f>DATE(YEAR(H743),MONTH(H743),1)</x:f>
        <x:v>46143</x:v>
      </x:c>
      <x:c r="N743" s="36" t="str">
        <x:f>IF(I743="","",DATE(YEAR(I743),MONTH(I743),1))</x:f>
      </x:c>
    </x:row>
    <x:row r="744">
      <x:c r="A744" s="16" t="str">
        <x:v>HG-01743</x:v>
      </x:c>
      <x:c r="B744" s="16" t="str">
        <x:v>Nazmul Hasan</x:v>
      </x:c>
      <x:c r="C744" s="16" t="str">
        <x:v>Male</x:v>
      </x:c>
      <x:c r="D744" s="16" t="str">
        <x:v>Finance &amp; Accounts</x:v>
      </x:c>
      <x:c r="E744" s="16" t="str">
        <x:v>Payroll Executive</x:v>
      </x:c>
      <x:c r="F744" s="16" t="str">
        <x:v>Dhaka Head Office</x:v>
      </x:c>
      <x:c r="G744" s="16" t="str">
        <x:v>Permanent</x:v>
      </x:c>
      <x:c r="H744" s="35" t="n">
        <x:v>46145</x:v>
      </x:c>
      <x:c r="I744" s="35"/>
      <x:c r="J744" s="16" t="str"/>
      <x:c r="K744" s="16" t="str">
        <x:f>IF(I744="","Active","Exited")</x:f>
        <x:v>Active</x:v>
      </x:c>
      <x:c r="L744" s="16" t="n">
        <x:f>(YEAR(IF(I744="",TODAY(),I744))-YEAR(H744))*12+MONTH(IF(I744="",TODAY(),I744))-MONTH(H744)</x:f>
        <x:v>2</x:v>
      </x:c>
      <x:c r="M744" s="36" t="n">
        <x:f>DATE(YEAR(H744),MONTH(H744),1)</x:f>
        <x:v>46143</x:v>
      </x:c>
      <x:c r="N744" s="36" t="str">
        <x:f>IF(I744="","",DATE(YEAR(I744),MONTH(I744),1))</x:f>
      </x:c>
    </x:row>
    <x:row r="745">
      <x:c r="A745" s="16" t="str">
        <x:v>HG-01744</x:v>
      </x:c>
      <x:c r="B745" s="16" t="str">
        <x:v>Sharmin Chowdhury</x:v>
      </x:c>
      <x:c r="C745" s="16" t="str">
        <x:v>Female</x:v>
      </x:c>
      <x:c r="D745" s="16" t="str">
        <x:v>Sales &amp; Marketing</x:v>
      </x:c>
      <x:c r="E745" s="16" t="str">
        <x:v>Key Account Executive</x:v>
      </x:c>
      <x:c r="F745" s="16" t="str">
        <x:v>Dhaka Head Office</x:v>
      </x:c>
      <x:c r="G745" s="16" t="str">
        <x:v>Probation</x:v>
      </x:c>
      <x:c r="H745" s="35" t="n">
        <x:v>46162</x:v>
      </x:c>
      <x:c r="I745" s="35"/>
      <x:c r="J745" s="16" t="str"/>
      <x:c r="K745" s="16" t="str">
        <x:f>IF(I745="","Active","Exited")</x:f>
        <x:v>Active</x:v>
      </x:c>
      <x:c r="L745" s="16" t="n">
        <x:f>(YEAR(IF(I745="",TODAY(),I745))-YEAR(H745))*12+MONTH(IF(I745="",TODAY(),I745))-MONTH(H745)</x:f>
        <x:v>2</x:v>
      </x:c>
      <x:c r="M745" s="36" t="n">
        <x:f>DATE(YEAR(H745),MONTH(H745),1)</x:f>
        <x:v>46143</x:v>
      </x:c>
      <x:c r="N745" s="36" t="str">
        <x:f>IF(I745="","",DATE(YEAR(I745),MONTH(I745),1))</x:f>
      </x:c>
    </x:row>
    <x:row r="746">
      <x:c r="A746" s="16" t="str">
        <x:v>HG-01745</x:v>
      </x:c>
      <x:c r="B746" s="16" t="str">
        <x:v>Sabbir Islam</x:v>
      </x:c>
      <x:c r="C746" s="16" t="str">
        <x:v>Male</x:v>
      </x:c>
      <x:c r="D746" s="16" t="str">
        <x:v>Quality Assurance</x:v>
      </x:c>
      <x:c r="E746" s="16" t="str">
        <x:v>Quality Inspector</x:v>
      </x:c>
      <x:c r="F746" s="16" t="str">
        <x:v>Gazipur Plant</x:v>
      </x:c>
      <x:c r="G746" s="16" t="str">
        <x:v>Permanent</x:v>
      </x:c>
      <x:c r="H746" s="35" t="n">
        <x:v>46143</x:v>
      </x:c>
      <x:c r="I746" s="35"/>
      <x:c r="J746" s="16" t="str"/>
      <x:c r="K746" s="16" t="str">
        <x:f>IF(I746="","Active","Exited")</x:f>
        <x:v>Active</x:v>
      </x:c>
      <x:c r="L746" s="16" t="n">
        <x:f>(YEAR(IF(I746="",TODAY(),I746))-YEAR(H746))*12+MONTH(IF(I746="",TODAY(),I746))-MONTH(H746)</x:f>
        <x:v>2</x:v>
      </x:c>
      <x:c r="M746" s="36" t="n">
        <x:f>DATE(YEAR(H746),MONTH(H746),1)</x:f>
        <x:v>46143</x:v>
      </x:c>
      <x:c r="N746" s="36" t="str">
        <x:f>IF(I746="","",DATE(YEAR(I746),MONTH(I746),1))</x:f>
      </x:c>
    </x:row>
    <x:row r="747">
      <x:c r="A747" s="16" t="str">
        <x:v>HG-01746</x:v>
      </x:c>
      <x:c r="B747" s="16" t="str">
        <x:v>Farzana Miah</x:v>
      </x:c>
      <x:c r="C747" s="16" t="str">
        <x:v>Female</x:v>
      </x:c>
      <x:c r="D747" s="16" t="str">
        <x:v>Quality Assurance</x:v>
      </x:c>
      <x:c r="E747" s="16" t="str">
        <x:v>Quality Inspector</x:v>
      </x:c>
      <x:c r="F747" s="16" t="str">
        <x:v>Narayanganj Plant</x:v>
      </x:c>
      <x:c r="G747" s="16" t="str">
        <x:v>Contract</x:v>
      </x:c>
      <x:c r="H747" s="35" t="n">
        <x:v>46165</x:v>
      </x:c>
      <x:c r="I747" s="35"/>
      <x:c r="J747" s="16" t="str"/>
      <x:c r="K747" s="16" t="str">
        <x:f>IF(I747="","Active","Exited")</x:f>
        <x:v>Active</x:v>
      </x:c>
      <x:c r="L747" s="16" t="n">
        <x:f>(YEAR(IF(I747="",TODAY(),I747))-YEAR(H747))*12+MONTH(IF(I747="",TODAY(),I747))-MONTH(H747)</x:f>
        <x:v>2</x:v>
      </x:c>
      <x:c r="M747" s="36" t="n">
        <x:f>DATE(YEAR(H747),MONTH(H747),1)</x:f>
        <x:v>46143</x:v>
      </x:c>
      <x:c r="N747" s="36" t="str">
        <x:f>IF(I747="","",DATE(YEAR(I747),MONTH(I747),1))</x:f>
      </x:c>
    </x:row>
    <x:row r="748">
      <x:c r="A748" s="16" t="str">
        <x:v>HG-01747</x:v>
      </x:c>
      <x:c r="B748" s="16" t="str">
        <x:v>Sadia Miah</x:v>
      </x:c>
      <x:c r="C748" s="16" t="str">
        <x:v>Female</x:v>
      </x:c>
      <x:c r="D748" s="16" t="str">
        <x:v>Production</x:v>
      </x:c>
      <x:c r="E748" s="16" t="str">
        <x:v>Line Supervisor</x:v>
      </x:c>
      <x:c r="F748" s="16" t="str">
        <x:v>Narayanganj Plant</x:v>
      </x:c>
      <x:c r="G748" s="16" t="str">
        <x:v>Permanent</x:v>
      </x:c>
      <x:c r="H748" s="35" t="n">
        <x:v>46143</x:v>
      </x:c>
      <x:c r="I748" s="35"/>
      <x:c r="J748" s="16" t="str"/>
      <x:c r="K748" s="16" t="str">
        <x:f>IF(I748="","Active","Exited")</x:f>
        <x:v>Active</x:v>
      </x:c>
      <x:c r="L748" s="16" t="n">
        <x:f>(YEAR(IF(I748="",TODAY(),I748))-YEAR(H748))*12+MONTH(IF(I748="",TODAY(),I748))-MONTH(H748)</x:f>
        <x:v>2</x:v>
      </x:c>
      <x:c r="M748" s="36" t="n">
        <x:f>DATE(YEAR(H748),MONTH(H748),1)</x:f>
        <x:v>46143</x:v>
      </x:c>
      <x:c r="N748" s="36" t="str">
        <x:f>IF(I748="","",DATE(YEAR(I748),MONTH(I748),1))</x:f>
      </x:c>
    </x:row>
    <x:row r="749">
      <x:c r="A749" s="16" t="str">
        <x:v>HG-01748</x:v>
      </x:c>
      <x:c r="B749" s="16" t="str">
        <x:v>Nusrat Hasan</x:v>
      </x:c>
      <x:c r="C749" s="16" t="str">
        <x:v>Female</x:v>
      </x:c>
      <x:c r="D749" s="16" t="str">
        <x:v>Production</x:v>
      </x:c>
      <x:c r="E749" s="16" t="str">
        <x:v>Production Operator</x:v>
      </x:c>
      <x:c r="F749" s="16" t="str">
        <x:v>Narayanganj Plant</x:v>
      </x:c>
      <x:c r="G749" s="16" t="str">
        <x:v>Permanent</x:v>
      </x:c>
      <x:c r="H749" s="35" t="n">
        <x:v>46177</x:v>
      </x:c>
      <x:c r="I749" s="35"/>
      <x:c r="J749" s="16" t="str"/>
      <x:c r="K749" s="16" t="str">
        <x:f>IF(I749="","Active","Exited")</x:f>
        <x:v>Active</x:v>
      </x:c>
      <x:c r="L749" s="16" t="n">
        <x:f>(YEAR(IF(I749="",TODAY(),I749))-YEAR(H749))*12+MONTH(IF(I749="",TODAY(),I749))-MONTH(H749)</x:f>
        <x:v>1</x:v>
      </x:c>
      <x:c r="M749" s="36" t="n">
        <x:f>DATE(YEAR(H749),MONTH(H749),1)</x:f>
        <x:v>46174</x:v>
      </x:c>
      <x:c r="N749" s="36" t="str">
        <x:f>IF(I749="","",DATE(YEAR(I749),MONTH(I749),1))</x:f>
      </x:c>
    </x:row>
    <x:row r="750">
      <x:c r="A750" s="16" t="str">
        <x:v>HG-01749</x:v>
      </x:c>
      <x:c r="B750" s="16" t="str">
        <x:v>Tanjila Begum</x:v>
      </x:c>
      <x:c r="C750" s="16" t="str">
        <x:v>Female</x:v>
      </x:c>
      <x:c r="D750" s="16" t="str">
        <x:v>Human Resources</x:v>
      </x:c>
      <x:c r="E750" s="16" t="str">
        <x:v>HR Assistant</x:v>
      </x:c>
      <x:c r="F750" s="16" t="str">
        <x:v>Narayanganj Plant</x:v>
      </x:c>
      <x:c r="G750" s="16" t="str">
        <x:v>Permanent</x:v>
      </x:c>
      <x:c r="H750" s="35" t="n">
        <x:v>46180</x:v>
      </x:c>
      <x:c r="I750" s="35"/>
      <x:c r="J750" s="16" t="str"/>
      <x:c r="K750" s="16" t="str">
        <x:f>IF(I750="","Active","Exited")</x:f>
        <x:v>Active</x:v>
      </x:c>
      <x:c r="L750" s="16" t="n">
        <x:f>(YEAR(IF(I750="",TODAY(),I750))-YEAR(H750))*12+MONTH(IF(I750="",TODAY(),I750))-MONTH(H750)</x:f>
        <x:v>1</x:v>
      </x:c>
      <x:c r="M750" s="36" t="n">
        <x:f>DATE(YEAR(H750),MONTH(H750),1)</x:f>
        <x:v>46174</x:v>
      </x:c>
      <x:c r="N750" s="36" t="str">
        <x:f>IF(I750="","",DATE(YEAR(I750),MONTH(I750),1))</x:f>
      </x:c>
    </x:row>
    <x:row r="751">
      <x:c r="A751" s="16" t="str">
        <x:v>HG-01750</x:v>
      </x:c>
      <x:c r="B751" s="16" t="str">
        <x:v>Nayeem Karim</x:v>
      </x:c>
      <x:c r="C751" s="16" t="str">
        <x:v>Male</x:v>
      </x:c>
      <x:c r="D751" s="16" t="str">
        <x:v>Finance &amp; Accounts</x:v>
      </x:c>
      <x:c r="E751" s="16" t="str">
        <x:v>Senior Accounts Executive</x:v>
      </x:c>
      <x:c r="F751" s="16" t="str">
        <x:v>Narayanganj Plant</x:v>
      </x:c>
      <x:c r="G751" s="16" t="str">
        <x:v>Permanent</x:v>
      </x:c>
      <x:c r="H751" s="35" t="n">
        <x:v>46174</x:v>
      </x:c>
      <x:c r="I751" s="35"/>
      <x:c r="J751" s="16" t="str"/>
      <x:c r="K751" s="16" t="str">
        <x:f>IF(I751="","Active","Exited")</x:f>
        <x:v>Active</x:v>
      </x:c>
      <x:c r="L751" s="16" t="n">
        <x:f>(YEAR(IF(I751="",TODAY(),I751))-YEAR(H751))*12+MONTH(IF(I751="",TODAY(),I751))-MONTH(H751)</x:f>
        <x:v>1</x:v>
      </x:c>
      <x:c r="M751" s="36" t="n">
        <x:f>DATE(YEAR(H751),MONTH(H751),1)</x:f>
        <x:v>46174</x:v>
      </x:c>
      <x:c r="N751" s="36" t="str">
        <x:f>IF(I751="","",DATE(YEAR(I751),MONTH(I751),1))</x:f>
      </x:c>
    </x:row>
    <x:row r="752">
      <x:c r="A752" s="16" t="str">
        <x:v>HG-01751</x:v>
      </x:c>
      <x:c r="B752" s="16" t="str">
        <x:v>Rafi Akter</x:v>
      </x:c>
      <x:c r="C752" s="16" t="str">
        <x:v>Male</x:v>
      </x:c>
      <x:c r="D752" s="16" t="str">
        <x:v>Production</x:v>
      </x:c>
      <x:c r="E752" s="16" t="str">
        <x:v>Production Officer</x:v>
      </x:c>
      <x:c r="F752" s="16" t="str">
        <x:v>Dhaka Head Office</x:v>
      </x:c>
      <x:c r="G752" s="16" t="str">
        <x:v>Permanent</x:v>
      </x:c>
      <x:c r="H752" s="35" t="n">
        <x:v>46197</x:v>
      </x:c>
      <x:c r="I752" s="35"/>
      <x:c r="J752" s="16" t="str"/>
      <x:c r="K752" s="16" t="str">
        <x:f>IF(I752="","Active","Exited")</x:f>
        <x:v>Active</x:v>
      </x:c>
      <x:c r="L752" s="16" t="n">
        <x:f>(YEAR(IF(I752="",TODAY(),I752))-YEAR(H752))*12+MONTH(IF(I752="",TODAY(),I752))-MONTH(H752)</x:f>
        <x:v>1</x:v>
      </x:c>
      <x:c r="M752" s="36" t="n">
        <x:f>DATE(YEAR(H752),MONTH(H752),1)</x:f>
        <x:v>46174</x:v>
      </x:c>
      <x:c r="N752" s="36" t="str">
        <x:f>IF(I752="","",DATE(YEAR(I752),MONTH(I752),1))</x:f>
      </x:c>
    </x:row>
    <x:row r="753">
      <x:c r="A753" s="16" t="str">
        <x:v>HG-01752</x:v>
      </x:c>
      <x:c r="B753" s="16" t="str">
        <x:v>Jannat Karim</x:v>
      </x:c>
      <x:c r="C753" s="16" t="str">
        <x:v>Female</x:v>
      </x:c>
      <x:c r="D753" s="16" t="str">
        <x:v>Production</x:v>
      </x:c>
      <x:c r="E753" s="16" t="str">
        <x:v>Assistant Manager - Production</x:v>
      </x:c>
      <x:c r="F753" s="16" t="str">
        <x:v>Gazipur Plant</x:v>
      </x:c>
      <x:c r="G753" s="16" t="str">
        <x:v>Permanent</x:v>
      </x:c>
      <x:c r="H753" s="35" t="n">
        <x:v>46200</x:v>
      </x:c>
      <x:c r="I753" s="35"/>
      <x:c r="J753" s="16" t="str"/>
      <x:c r="K753" s="16" t="str">
        <x:f>IF(I753="","Active","Exited")</x:f>
        <x:v>Active</x:v>
      </x:c>
      <x:c r="L753" s="16" t="n">
        <x:f>(YEAR(IF(I753="",TODAY(),I753))-YEAR(H753))*12+MONTH(IF(I753="",TODAY(),I753))-MONTH(H753)</x:f>
        <x:v>1</x:v>
      </x:c>
      <x:c r="M753" s="36" t="n">
        <x:f>DATE(YEAR(H753),MONTH(H753),1)</x:f>
        <x:v>46174</x:v>
      </x:c>
      <x:c r="N753" s="36" t="str">
        <x:f>IF(I753="","",DATE(YEAR(I753),MONTH(I753),1))</x:f>
      </x:c>
    </x:row>
    <x:row r="754">
      <x:c r="A754" s="16" t="str">
        <x:v>HG-01753</x:v>
      </x:c>
      <x:c r="B754" s="16" t="str">
        <x:v>Jubayer Rahman</x:v>
      </x:c>
      <x:c r="C754" s="16" t="str">
        <x:v>Male</x:v>
      </x:c>
      <x:c r="D754" s="16" t="str">
        <x:v>Production</x:v>
      </x:c>
      <x:c r="E754" s="16" t="str">
        <x:v>Senior Operator</x:v>
      </x:c>
      <x:c r="F754" s="16" t="str">
        <x:v>Gazipur Plant</x:v>
      </x:c>
      <x:c r="G754" s="16" t="str">
        <x:v>Contract</x:v>
      </x:c>
      <x:c r="H754" s="35" t="n">
        <x:v>46178</x:v>
      </x:c>
      <x:c r="I754" s="35"/>
      <x:c r="J754" s="16" t="str"/>
      <x:c r="K754" s="16" t="str">
        <x:f>IF(I754="","Active","Exited")</x:f>
        <x:v>Active</x:v>
      </x:c>
      <x:c r="L754" s="16" t="n">
        <x:f>(YEAR(IF(I754="",TODAY(),I754))-YEAR(H754))*12+MONTH(IF(I754="",TODAY(),I754))-MONTH(H754)</x:f>
        <x:v>1</x:v>
      </x:c>
      <x:c r="M754" s="36" t="n">
        <x:f>DATE(YEAR(H754),MONTH(H754),1)</x:f>
        <x:v>46174</x:v>
      </x:c>
      <x:c r="N754" s="36" t="str">
        <x:f>IF(I754="","",DATE(YEAR(I754),MONTH(I754),1))</x:f>
      </x:c>
    </x:row>
    <x:row r="755">
      <x:c r="A755" s="16" t="str">
        <x:v>HG-01754</x:v>
      </x:c>
      <x:c r="B755" s="16" t="str">
        <x:v>Nazmul Sarker</x:v>
      </x:c>
      <x:c r="C755" s="16" t="str">
        <x:v>Male</x:v>
      </x:c>
      <x:c r="D755" s="16" t="str">
        <x:v>Quality Assurance</x:v>
      </x:c>
      <x:c r="E755" s="16" t="str">
        <x:v>Quality Inspector</x:v>
      </x:c>
      <x:c r="F755" s="16" t="str">
        <x:v>Narayanganj Plant</x:v>
      </x:c>
      <x:c r="G755" s="16" t="str">
        <x:v>Permanent</x:v>
      </x:c>
      <x:c r="H755" s="35" t="n">
        <x:v>46199</x:v>
      </x:c>
      <x:c r="I755" s="35"/>
      <x:c r="J755" s="16" t="str"/>
      <x:c r="K755" s="16" t="str">
        <x:f>IF(I755="","Active","Exited")</x:f>
        <x:v>Active</x:v>
      </x:c>
      <x:c r="L755" s="16" t="n">
        <x:f>(YEAR(IF(I755="",TODAY(),I755))-YEAR(H755))*12+MONTH(IF(I755="",TODAY(),I755))-MONTH(H755)</x:f>
        <x:v>1</x:v>
      </x:c>
      <x:c r="M755" s="36" t="n">
        <x:f>DATE(YEAR(H755),MONTH(H755),1)</x:f>
        <x:v>46174</x:v>
      </x:c>
      <x:c r="N755" s="36" t="str">
        <x:f>IF(I755="","",DATE(YEAR(I755),MONTH(I755),1))</x:f>
      </x:c>
    </x:row>
    <x:row r="756">
      <x:c r="A756" s="16" t="str">
        <x:v>HG-01755</x:v>
      </x:c>
      <x:c r="B756" s="16" t="str">
        <x:v>Farhan Begum</x:v>
      </x:c>
      <x:c r="C756" s="16" t="str">
        <x:v>Male</x:v>
      </x:c>
      <x:c r="D756" s="16" t="str">
        <x:v>Finance &amp; Accounts</x:v>
      </x:c>
      <x:c r="E756" s="16" t="str">
        <x:v>Payroll Executive</x:v>
      </x:c>
      <x:c r="F756" s="16" t="str">
        <x:v>Chattogram Office</x:v>
      </x:c>
      <x:c r="G756" s="16" t="str">
        <x:v>Contract</x:v>
      </x:c>
      <x:c r="H756" s="35" t="n">
        <x:v>46201</x:v>
      </x:c>
      <x:c r="I756" s="35"/>
      <x:c r="J756" s="16" t="str"/>
      <x:c r="K756" s="16" t="str">
        <x:f>IF(I756="","Active","Exited")</x:f>
        <x:v>Active</x:v>
      </x:c>
      <x:c r="L756" s="16" t="n">
        <x:f>(YEAR(IF(I756="",TODAY(),I756))-YEAR(H756))*12+MONTH(IF(I756="",TODAY(),I756))-MONTH(H756)</x:f>
        <x:v>1</x:v>
      </x:c>
      <x:c r="M756" s="36" t="n">
        <x:f>DATE(YEAR(H756),MONTH(H756),1)</x:f>
        <x:v>46174</x:v>
      </x:c>
      <x:c r="N756" s="36" t="str">
        <x:f>IF(I756="","",DATE(YEAR(I756),MONTH(I756),1))</x:f>
      </x:c>
    </x:row>
    <x:row r="757">
      <x:c r="A757" s="16" t="str">
        <x:v>HG-01756</x:v>
      </x:c>
      <x:c r="B757" s="16" t="str">
        <x:v>Sajid Miah</x:v>
      </x:c>
      <x:c r="C757" s="16" t="str">
        <x:v>Male</x:v>
      </x:c>
      <x:c r="D757" s="16" t="str">
        <x:v>Sales &amp; Marketing</x:v>
      </x:c>
      <x:c r="E757" s="16" t="str">
        <x:v>Sales Executive</x:v>
      </x:c>
      <x:c r="F757" s="16" t="str">
        <x:v>Dhaka Head Office</x:v>
      </x:c>
      <x:c r="G757" s="16" t="str">
        <x:v>Contract</x:v>
      </x:c>
      <x:c r="H757" s="35" t="n">
        <x:v>46202</x:v>
      </x:c>
      <x:c r="I757" s="35"/>
      <x:c r="J757" s="16" t="str"/>
      <x:c r="K757" s="16" t="str">
        <x:f>IF(I757="","Active","Exited")</x:f>
        <x:v>Active</x:v>
      </x:c>
      <x:c r="L757" s="16" t="n">
        <x:f>(YEAR(IF(I757="",TODAY(),I757))-YEAR(H757))*12+MONTH(IF(I757="",TODAY(),I757))-MONTH(H757)</x:f>
        <x:v>1</x:v>
      </x:c>
      <x:c r="M757" s="36" t="n">
        <x:f>DATE(YEAR(H757),MONTH(H757),1)</x:f>
        <x:v>46174</x:v>
      </x:c>
      <x:c r="N757" s="36" t="str">
        <x:f>IF(I757="","",DATE(YEAR(I757),MONTH(I757),1))</x:f>
      </x:c>
    </x:row>
    <x:row r="758">
      <x:c r="A758" s="16" t="str">
        <x:v>HG-01757</x:v>
      </x:c>
      <x:c r="B758" s="16" t="str">
        <x:v>Tasnim Miah</x:v>
      </x:c>
      <x:c r="C758" s="16" t="str">
        <x:v>Female</x:v>
      </x:c>
      <x:c r="D758" s="16" t="str">
        <x:v>Production</x:v>
      </x:c>
      <x:c r="E758" s="16" t="str">
        <x:v>Senior Operator</x:v>
      </x:c>
      <x:c r="F758" s="16" t="str">
        <x:v>Narayanganj Plant</x:v>
      </x:c>
      <x:c r="G758" s="16" t="str">
        <x:v>Permanent</x:v>
      </x:c>
      <x:c r="H758" s="35" t="n">
        <x:v>46202</x:v>
      </x:c>
      <x:c r="I758" s="35"/>
      <x:c r="J758" s="16" t="str"/>
      <x:c r="K758" s="16" t="str">
        <x:f>IF(I758="","Active","Exited")</x:f>
        <x:v>Active</x:v>
      </x:c>
      <x:c r="L758" s="16" t="n">
        <x:f>(YEAR(IF(I758="",TODAY(),I758))-YEAR(H758))*12+MONTH(IF(I758="",TODAY(),I758))-MONTH(H758)</x:f>
        <x:v>1</x:v>
      </x:c>
      <x:c r="M758" s="36" t="n">
        <x:f>DATE(YEAR(H758),MONTH(H758),1)</x:f>
        <x:v>46174</x:v>
      </x:c>
      <x:c r="N758" s="36" t="str">
        <x:f>IF(I758="","",DATE(YEAR(I758),MONTH(I758),1))</x:f>
      </x:c>
    </x:row>
    <x:row r="759">
      <x:c r="A759" s="16" t="str">
        <x:v>HG-01758</x:v>
      </x:c>
      <x:c r="B759" s="16" t="str">
        <x:v>Arif Begum</x:v>
      </x:c>
      <x:c r="C759" s="16" t="str">
        <x:v>Male</x:v>
      </x:c>
      <x:c r="D759" s="16" t="str">
        <x:v>Production</x:v>
      </x:c>
      <x:c r="E759" s="16" t="str">
        <x:v>Line Supervisor</x:v>
      </x:c>
      <x:c r="F759" s="16" t="str">
        <x:v>Narayanganj Plant</x:v>
      </x:c>
      <x:c r="G759" s="16" t="str">
        <x:v>Permanent</x:v>
      </x:c>
      <x:c r="H759" s="35" t="n">
        <x:v>46197</x:v>
      </x:c>
      <x:c r="I759" s="35"/>
      <x:c r="J759" s="16" t="str"/>
      <x:c r="K759" s="16" t="str">
        <x:f>IF(I759="","Active","Exited")</x:f>
        <x:v>Active</x:v>
      </x:c>
      <x:c r="L759" s="16" t="n">
        <x:f>(YEAR(IF(I759="",TODAY(),I759))-YEAR(H759))*12+MONTH(IF(I759="",TODAY(),I759))-MONTH(H759)</x:f>
        <x:v>1</x:v>
      </x:c>
      <x:c r="M759" s="36" t="n">
        <x:f>DATE(YEAR(H759),MONTH(H759),1)</x:f>
        <x:v>46174</x:v>
      </x:c>
      <x:c r="N759" s="36" t="str">
        <x:f>IF(I759="","",DATE(YEAR(I759),MONTH(I759),1))</x:f>
      </x:c>
    </x:row>
    <x:row r="760">
      <x:c r="A760" s="16" t="str">
        <x:v>HG-01759</x:v>
      </x:c>
      <x:c r="B760" s="16" t="str">
        <x:v>Mizan Karim</x:v>
      </x:c>
      <x:c r="C760" s="16" t="str">
        <x:v>Male</x:v>
      </x:c>
      <x:c r="D760" s="16" t="str">
        <x:v>Quality Assurance</x:v>
      </x:c>
      <x:c r="E760" s="16" t="str">
        <x:v>Assistant Manager - QA</x:v>
      </x:c>
      <x:c r="F760" s="16" t="str">
        <x:v>Narayanganj Plant</x:v>
      </x:c>
      <x:c r="G760" s="16" t="str">
        <x:v>Probation</x:v>
      </x:c>
      <x:c r="H760" s="35" t="n">
        <x:v>46203</x:v>
      </x:c>
      <x:c r="I760" s="35"/>
      <x:c r="J760" s="16" t="str"/>
      <x:c r="K760" s="16" t="str">
        <x:f>IF(I760="","Active","Exited")</x:f>
        <x:v>Active</x:v>
      </x:c>
      <x:c r="L760" s="16" t="n">
        <x:f>(YEAR(IF(I760="",TODAY(),I760))-YEAR(H760))*12+MONTH(IF(I760="",TODAY(),I760))-MONTH(H760)</x:f>
        <x:v>1</x:v>
      </x:c>
      <x:c r="M760" s="36" t="n">
        <x:f>DATE(YEAR(H760),MONTH(H760),1)</x:f>
        <x:v>46174</x:v>
      </x:c>
      <x:c r="N760" s="36" t="str">
        <x:f>IF(I760="","",DATE(YEAR(I760),MONTH(I760),1))</x:f>
      </x:c>
    </x:row>
    <x:row r="761">
      <x:c r="A761" s="16" t="str">
        <x:v>HG-01760</x:v>
      </x:c>
      <x:c r="B761" s="16" t="str">
        <x:v>Mahmud Ahmed</x:v>
      </x:c>
      <x:c r="C761" s="16" t="str">
        <x:v>Male</x:v>
      </x:c>
      <x:c r="D761" s="16" t="str">
        <x:v>Finance &amp; Accounts</x:v>
      </x:c>
      <x:c r="E761" s="16" t="str">
        <x:v>Senior Accounts Executive</x:v>
      </x:c>
      <x:c r="F761" s="16" t="str">
        <x:v>Dhaka Head Office</x:v>
      </x:c>
      <x:c r="G761" s="16" t="str">
        <x:v>Permanent</x:v>
      </x:c>
      <x:c r="H761" s="35" t="n">
        <x:v>46184</x:v>
      </x:c>
      <x:c r="I761" s="35"/>
      <x:c r="J761" s="16" t="str"/>
      <x:c r="K761" s="16" t="str">
        <x:f>IF(I761="","Active","Exited")</x:f>
        <x:v>Active</x:v>
      </x:c>
      <x:c r="L761" s="16" t="n">
        <x:f>(YEAR(IF(I761="",TODAY(),I761))-YEAR(H761))*12+MONTH(IF(I761="",TODAY(),I761))-MONTH(H761)</x:f>
        <x:v>1</x:v>
      </x:c>
      <x:c r="M761" s="36" t="n">
        <x:f>DATE(YEAR(H761),MONTH(H761),1)</x:f>
        <x:v>46174</x:v>
      </x:c>
      <x:c r="N761" s="36" t="str">
        <x:f>IF(I761="","",DATE(YEAR(I761),MONTH(I761),1))</x:f>
      </x:c>
    </x:row>
    <x:row r="762">
      <x:c r="A762" s="16" t="str">
        <x:v>HG-01761</x:v>
      </x:c>
      <x:c r="B762" s="16" t="str">
        <x:v>Jubayer Sarker</x:v>
      </x:c>
      <x:c r="C762" s="16" t="str">
        <x:v>Male</x:v>
      </x:c>
      <x:c r="D762" s="16" t="str">
        <x:v>Production</x:v>
      </x:c>
      <x:c r="E762" s="16" t="str">
        <x:v>Assistant Manager - Production</x:v>
      </x:c>
      <x:c r="F762" s="16" t="str">
        <x:v>Gazipur Plant</x:v>
      </x:c>
      <x:c r="G762" s="16" t="str">
        <x:v>Contract</x:v>
      </x:c>
      <x:c r="H762" s="35" t="n">
        <x:v>46203</x:v>
      </x:c>
      <x:c r="I762" s="35"/>
      <x:c r="J762" s="16" t="str"/>
      <x:c r="K762" s="16" t="str">
        <x:f>IF(I762="","Active","Exited")</x:f>
        <x:v>Active</x:v>
      </x:c>
      <x:c r="L762" s="16" t="n">
        <x:f>(YEAR(IF(I762="",TODAY(),I762))-YEAR(H762))*12+MONTH(IF(I762="",TODAY(),I762))-MONTH(H762)</x:f>
        <x:v>1</x:v>
      </x:c>
      <x:c r="M762" s="36" t="n">
        <x:f>DATE(YEAR(H762),MONTH(H762),1)</x:f>
        <x:v>46174</x:v>
      </x:c>
      <x:c r="N762" s="36" t="str">
        <x:f>IF(I762="","",DATE(YEAR(I762),MONTH(I762),1))</x:f>
      </x:c>
    </x:row>
    <x:row r="763">
      <x:c r="A763" s="16" t="str">
        <x:v>HG-01762</x:v>
      </x:c>
      <x:c r="B763" s="16" t="str">
        <x:v>Nazmul Kabir</x:v>
      </x:c>
      <x:c r="C763" s="16" t="str">
        <x:v>Male</x:v>
      </x:c>
      <x:c r="D763" s="16" t="str">
        <x:v>Production</x:v>
      </x:c>
      <x:c r="E763" s="16" t="str">
        <x:v>Line Supervisor</x:v>
      </x:c>
      <x:c r="F763" s="16" t="str">
        <x:v>Gazipur Plant</x:v>
      </x:c>
      <x:c r="G763" s="16" t="str">
        <x:v>Contract</x:v>
      </x:c>
      <x:c r="H763" s="35" t="n">
        <x:v>46198</x:v>
      </x:c>
      <x:c r="I763" s="35"/>
      <x:c r="J763" s="16" t="str"/>
      <x:c r="K763" s="16" t="str">
        <x:f>IF(I763="","Active","Exited")</x:f>
        <x:v>Active</x:v>
      </x:c>
      <x:c r="L763" s="16" t="n">
        <x:f>(YEAR(IF(I763="",TODAY(),I763))-YEAR(H763))*12+MONTH(IF(I763="",TODAY(),I763))-MONTH(H763)</x:f>
        <x:v>1</x:v>
      </x:c>
      <x:c r="M763" s="36" t="n">
        <x:f>DATE(YEAR(H763),MONTH(H763),1)</x:f>
        <x:v>46174</x:v>
      </x:c>
      <x:c r="N763" s="36" t="str">
        <x:f>IF(I763="","",DATE(YEAR(I763),MONTH(I763),1))</x:f>
      </x:c>
    </x:row>
  </x:sheetData>
  <x:conditionalFormatting sqref="K2:K763">
    <x:cfRule type="expression" dxfId="0" priority="1">
      <x:formula>K2="Exited"</x:formula>
    </x:cfRule>
    <x:cfRule type="expression" dxfId="1" priority="2">
      <x:formula>K2="Active"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9c4dd60d5f43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20" t="str">
        <x:v>Departments</x:v>
      </x:c>
      <x:c r="B1" s="20" t="str">
        <x:v>Locations</x:v>
      </x:c>
      <x:c r="C1" s="20" t="str">
        <x:v>Employment Types</x:v>
      </x:c>
      <x:c r="D1" s="20" t="str">
        <x:v>Risk Levels</x:v>
      </x:c>
    </x:row>
    <x:row r="2">
      <x:c r="A2" t="str">
        <x:v>All</x:v>
      </x:c>
      <x:c r="B2" t="str">
        <x:v>All</x:v>
      </x:c>
      <x:c r="C2" t="str">
        <x:v>All</x:v>
      </x:c>
      <x:c r="D2" t="str">
        <x:v>Low Risk</x:v>
      </x:c>
    </x:row>
    <x:row r="3">
      <x:c r="A3" t="str">
        <x:v>Production</x:v>
      </x:c>
      <x:c r="B3" t="str">
        <x:v>Dhaka Head Office</x:v>
      </x:c>
      <x:c r="C3" t="str">
        <x:v>Permanent</x:v>
      </x:c>
      <x:c r="D3" t="str">
        <x:v>Moderate Risk</x:v>
      </x:c>
    </x:row>
    <x:row r="4">
      <x:c r="A4" t="str">
        <x:v>Sales &amp; Marketing</x:v>
      </x:c>
      <x:c r="B4" t="str">
        <x:v>Gazipur Plant</x:v>
      </x:c>
      <x:c r="C4" t="str">
        <x:v>Contract</x:v>
      </x:c>
      <x:c r="D4" t="str">
        <x:v>High Risk</x:v>
      </x:c>
    </x:row>
    <x:row r="5">
      <x:c r="A5" t="str">
        <x:v>Human Resources</x:v>
      </x:c>
      <x:c r="B5" t="str">
        <x:v>Narayanganj Plant</x:v>
      </x:c>
      <x:c r="C5" t="str">
        <x:v>Probation</x:v>
      </x:c>
      <x:c r="D5" t="str">
        <x:v>Very High Risk</x:v>
      </x:c>
    </x:row>
    <x:row r="6">
      <x:c r="A6" t="str">
        <x:v>Finance &amp; Accounts</x:v>
      </x:c>
      <x:c r="B6" t="str">
        <x:v>Chattogram Office</x:v>
      </x:c>
      <x:c r="C6" t="str"/>
      <x:c r="D6" t="str">
        <x:v>Critical Risk</x:v>
      </x:c>
    </x:row>
    <x:row r="7">
      <x:c r="A7" t="str">
        <x:v>Supply Chain</x:v>
      </x:c>
      <x:c r="B7" t="str"/>
      <x:c r="C7" t="str"/>
      <x:c r="D7" t="str"/>
    </x:row>
    <x:row r="8">
      <x:c r="A8" t="str">
        <x:v>Information Technology</x:v>
      </x:c>
      <x:c r="B8" t="str"/>
      <x:c r="C8" t="str"/>
      <x:c r="D8" t="str"/>
    </x:row>
    <x:row r="9">
      <x:c r="A9" t="str">
        <x:v>Quality Assurance</x:v>
      </x:c>
      <x:c r="B9" t="str"/>
      <x:c r="C9" t="str"/>
      <x:c r="D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24" hidden="0" customWidth="1"/>
    <x:col min="5" max="5" width="22" hidden="0" customWidth="1"/>
  </x:cols>
  <x:sheetData>
    <x:row r="1">
      <x:c r="A1" s="5" t="str">
        <x:v>Employee Turnover Calculator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Start Date</x:v>
      </x:c>
      <x:c r="B4" s="44" t="n">
        <x:v>45658</x:v>
      </x:c>
      <x:c r="D4" s="20" t="str">
        <x:v>Metric</x:v>
      </x:c>
      <x:c r="E4" s="20" t="str">
        <x:v>Result</x:v>
      </x:c>
    </x:row>
    <x:row r="5">
      <x:c r="A5" s="12" t="str">
        <x:v>End Date</x:v>
      </x:c>
      <x:c r="B5" s="44" t="n">
        <x:v>46203</x:v>
      </x:c>
      <x:c r="D5" s="12" t="str">
        <x:v>Opening Headcount</x:v>
      </x:c>
      <x:c r="E5" s="48" t="n">
        <x:f>SUMPRODUCT((Employee_Data!$H$2:$H$1000&lt;&gt;"")*(Employee_Data!$H$2:$H$1000&lt;=$B$4)*(((Employee_Data!$I$2:$I$1000="")+(Employee_Data!$I$2:$I$1000&gt;=$B$4))&gt;0)*(($B$6="All")+(Employee_Data!$D$2:$D$1000=$B$6)&gt;0)*(($B$7="All")+(Employee_Data!$F$2:$F$1000=$B$7)&gt;0)*(($B$8="All")+(Employee_Data!$G$2:$G$1000=$B$8)&gt;0))</x:f>
        <x:v>520</x:v>
      </x:c>
    </x:row>
    <x:row r="6">
      <x:c r="A6" s="12" t="str">
        <x:v>Department</x:v>
      </x:c>
      <x:c r="B6" s="41" t="str">
        <x:v>All</x:v>
      </x:c>
      <x:c r="D6" s="12" t="str">
        <x:v>Closing Headcount</x:v>
      </x:c>
      <x:c r="E6" s="48" t="n">
        <x:f>SUMPRODUCT((Employee_Data!$H$2:$H$1000&lt;&gt;"")*(Employee_Data!$H$2:$H$1000&lt;=$B$5)*(((Employee_Data!$I$2:$I$1000="")+(Employee_Data!$I$2:$I$1000&gt;$B$5))&gt;0)*(($B$6="All")+(Employee_Data!$D$2:$D$1000=$B$6)&gt;0)*(($B$7="All")+(Employee_Data!$F$2:$F$1000=$B$7)&gt;0)*(($B$8="All")+(Employee_Data!$G$2:$G$1000=$B$8)&gt;0))</x:f>
        <x:v>592</x:v>
      </x:c>
    </x:row>
    <x:row r="7">
      <x:c r="A7" s="12" t="str">
        <x:v>Location</x:v>
      </x:c>
      <x:c r="B7" s="41" t="str">
        <x:v>All</x:v>
      </x:c>
      <x:c r="D7" s="12" t="str">
        <x:v>Average Headcount</x:v>
      </x:c>
      <x:c r="E7" s="48" t="n">
        <x:f>AVERAGE(E5:E6)</x:f>
        <x:v>556</x:v>
      </x:c>
    </x:row>
    <x:row r="8">
      <x:c r="A8" s="12" t="str">
        <x:v>Employment Type</x:v>
      </x:c>
      <x:c r="B8" s="41" t="str">
        <x:v>All</x:v>
      </x:c>
      <x:c r="D8" s="12" t="str">
        <x:v>Total Hires</x:v>
      </x:c>
      <x:c r="E8" s="48" t="n">
        <x:f>SUMPRODUCT((Employee_Data!$H$2:$H$1000&lt;&gt;"")*(Employee_Data!$H$2:$H$1000&gt;=$B$4)*(Employee_Data!$H$2:$H$1000&lt;=$B$5)*(($B$6="All")+(Employee_Data!$D$2:$D$1000=$B$6)&gt;0)*(($B$7="All")+(Employee_Data!$F$2:$F$1000=$B$7)&gt;0)*(($B$8="All")+(Employee_Data!$G$2:$G$1000=$B$8)&gt;0))</x:f>
        <x:v>242</x:v>
      </x:c>
    </x:row>
    <x:row r="9">
      <x:c r="D9" s="12" t="str">
        <x:v>Total Exits</x:v>
      </x:c>
      <x:c r="E9" s="48" t="n">
        <x:f>SUMPRODUCT((Employee_Data!$I$2:$I$1000&lt;&gt;"")*(Employee_Data!$I$2:$I$1000&gt;=$B$4)*(Employee_Data!$I$2:$I$1000&lt;=$B$5)*(($B$6="All")+(Employee_Data!$D$2:$D$1000=$B$6)&gt;0)*(($B$7="All")+(Employee_Data!$F$2:$F$1000=$B$7)&gt;0)*(($B$8="All")+(Employee_Data!$G$2:$G$1000=$B$8)&gt;0))</x:f>
        <x:v>170</x:v>
      </x:c>
    </x:row>
    <x:row r="10">
      <x:c r="D10" s="12" t="str">
        <x:v>Period Months</x:v>
      </x:c>
      <x:c r="E10" s="48" t="n">
        <x:f>(YEAR($B$5)-YEAR($B$4))*12+MONTH($B$5)-MONTH($B$4)+1</x:f>
        <x:v>18</x:v>
      </x:c>
    </x:row>
    <x:row r="11">
      <x:c r="D11" s="12" t="str">
        <x:v>Turnover Rate</x:v>
      </x:c>
      <x:c r="E11" s="46" t="n">
        <x:f>IFERROR(E9/E7,0)</x:f>
        <x:v>0.3057553956834532</x:v>
      </x:c>
    </x:row>
    <x:row r="12">
      <x:c r="D12" s="12" t="str">
        <x:v>Annualized Turnover</x:v>
      </x:c>
      <x:c r="E12" s="46" t="n">
        <x:f>IFERROR(E11*12/E10,0)</x:f>
        <x:v>0.20383693045563547</x:v>
      </x:c>
    </x:row>
    <x:row r="13">
      <x:c r="D13" s="12" t="str">
        <x:v>Risk Level</x:v>
      </x:c>
      <x:c r="E13" t="str">
        <x:f>IF(E12&lt;5%,"Low Risk",IF(E12&lt;10%,"Moderate Risk",IF(E12&lt;15%,"High Risk",IF(E12&lt;20%,"Very High Risk","Critical Risk"))))</x:f>
        <x:v>Critical Risk</x:v>
      </x:c>
    </x:row>
    <x:row r="15">
      <x:c r="A15" s="20" t="str">
        <x:v>Risk Interpretation</x:v>
      </x:c>
      <x:c r="B15" s="20"/>
      <x:c r="C15" s="20"/>
      <x:c r="D15" s="20"/>
      <x:c r="E15" s="20"/>
      <x:c r="F15" s="20"/>
      <x:c r="G15" s="20"/>
      <x:c r="H15" s="20"/>
    </x:row>
    <x:row r="16">
      <x:c r="A16" s="28" t="str">
        <x:v>Turnover Range</x:v>
      </x:c>
      <x:c r="B16" s="28" t="str">
        <x:v>Risk Level</x:v>
      </x:c>
      <x:c r="C16" s="28" t="str">
        <x:v>Recommended HR Response</x:v>
      </x:c>
    </x:row>
    <x:row r="17">
      <x:c r="A17" s="16" t="str">
        <x:v>0% – &lt;5%</x:v>
      </x:c>
      <x:c r="B17" s="16" t="str">
        <x:v>Low Risk</x:v>
      </x:c>
      <x:c r="C17" s="16" t="str">
        <x:v>Maintain engagement and retention practices.</x:v>
      </x:c>
    </x:row>
    <x:row r="18">
      <x:c r="A18" s="16" t="str">
        <x:v>5% – &lt;10%</x:v>
      </x:c>
      <x:c r="B18" s="16" t="str">
        <x:v>Moderate Risk</x:v>
      </x:c>
      <x:c r="C18" s="16" t="str">
        <x:v>Monitor trends and conduct targeted stay interviews.</x:v>
      </x:c>
    </x:row>
    <x:row r="19">
      <x:c r="A19" s="16" t="str">
        <x:v>10% – &lt;15%</x:v>
      </x:c>
      <x:c r="B19" s="16" t="str">
        <x:v>High Risk</x:v>
      </x:c>
      <x:c r="C19" s="16" t="str">
        <x:v>Investigate department, manager, pay, and career factors.</x:v>
      </x:c>
    </x:row>
    <x:row r="20">
      <x:c r="A20" s="16" t="str">
        <x:v>15% – &lt;20%</x:v>
      </x:c>
      <x:c r="B20" s="16" t="str">
        <x:v>Very High Risk</x:v>
      </x:c>
      <x:c r="C20" s="16" t="str">
        <x:v>Immediate retention action plan and leadership review.</x:v>
      </x:c>
    </x:row>
    <x:row r="21">
      <x:c r="A21" s="16" t="str">
        <x:v>≥20%</x:v>
      </x:c>
      <x:c r="B21" s="16" t="str">
        <x:v>Critical Risk</x:v>
      </x:c>
      <x:c r="C21" s="16" t="str">
        <x:v>Executive intervention and root-cause correction.</x:v>
      </x:c>
    </x:row>
  </x:sheetData>
  <x:mergeCells>
    <x:mergeCell ref="A1:H2"/>
    <x:mergeCell ref="A15:H15"/>
  </x:mergeCells>
  <x:conditionalFormatting sqref="E13:E13">
    <x:cfRule type="expression" dxfId="2" priority="1">
      <x:formula>E13="Low Risk"</x:formula>
    </x:cfRule>
    <x:cfRule type="expression" dxfId="3" priority="2">
      <x:formula>E13="Moderate Risk"</x:formula>
    </x:cfRule>
    <x:cfRule type="expression" dxfId="4" priority="3">
      <x:formula>OR(E13="High Risk",E13="Very High Risk",E13="Critical Risk")</x:formula>
    </x:cfRule>
  </x:conditionalFormatting>
  <x:dataValidations count="3">
    <x:dataValidation type="list" sqref="B6">
      <x:formula1>Lookup_Lists!$A$2:$A$10</x:formula1>
    </x:dataValidation>
    <x:dataValidation type="list" sqref="B7">
      <x:formula1>Lookup_Lists!$B$2:$B$6</x:formula1>
    </x:dataValidation>
    <x:dataValidation type="list" sqref="B8">
      <x:formula1>Lookup_Lists!$C$2:$C$5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9" hidden="0" customWidth="1"/>
    <x:col min="4" max="4" width="18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20" t="str">
        <x:v>MonthStart</x:v>
      </x:c>
      <x:c r="B1" s="20" t="str">
        <x:v>MonthLabel</x:v>
      </x:c>
      <x:c r="C1" s="20" t="str">
        <x:v>Year</x:v>
      </x:c>
      <x:c r="D1" s="20" t="str">
        <x:v>OpeningHeadcount</x:v>
      </x:c>
      <x:c r="E1" s="20" t="str">
        <x:v>Hires</x:v>
      </x:c>
      <x:c r="F1" s="20" t="str">
        <x:v>Exits</x:v>
      </x:c>
      <x:c r="G1" s="20" t="str">
        <x:v>ClosingHeadcount</x:v>
      </x:c>
      <x:c r="H1" s="20" t="str">
        <x:v>AverageHeadcount</x:v>
      </x:c>
      <x:c r="I1" s="20" t="str">
        <x:v>TurnoverRate</x:v>
      </x:c>
      <x:c r="J1" s="20" t="str">
        <x:v>AnnualizedTurnoverRate</x:v>
      </x:c>
      <x:c r="K1" s="20" t="str">
        <x:v>RiskLevel</x:v>
      </x:c>
    </x:row>
    <x:row r="2">
      <x:c r="A2" s="30" t="n">
        <x:v>45658</x:v>
      </x:c>
      <x:c r="B2" t="str">
        <x:v>Jan 2025</x:v>
      </x:c>
      <x:c r="C2" t="n">
        <x:v>2025</x:v>
      </x:c>
      <x:c r="D2" t="n">
        <x:v>520</x:v>
      </x:c>
      <x:c r="E2" t="n">
        <x:v>9</x:v>
      </x:c>
      <x:c r="F2" t="n">
        <x:v>12</x:v>
      </x:c>
      <x:c r="G2" t="n">
        <x:v>517</x:v>
      </x:c>
      <x:c r="H2" t="n">
        <x:v>518.5</x:v>
      </x:c>
      <x:c r="I2" s="46" t="n">
        <x:v>0.023144</x:v>
      </x:c>
      <x:c r="J2" s="46" t="n">
        <x:v>0.277724</x:v>
      </x:c>
      <x:c r="K2" t="str">
        <x:v>Low Risk</x:v>
      </x:c>
    </x:row>
    <x:row r="3">
      <x:c r="A3" s="30" t="n">
        <x:v>45689</x:v>
      </x:c>
      <x:c r="B3" t="str">
        <x:v>Feb 2025</x:v>
      </x:c>
      <x:c r="C3" t="n">
        <x:v>2025</x:v>
      </x:c>
      <x:c r="D3" t="n">
        <x:v>517</x:v>
      </x:c>
      <x:c r="E3" t="n">
        <x:v>14</x:v>
      </x:c>
      <x:c r="F3" t="n">
        <x:v>14</x:v>
      </x:c>
      <x:c r="G3" t="n">
        <x:v>517</x:v>
      </x:c>
      <x:c r="H3" t="n">
        <x:v>517</x:v>
      </x:c>
      <x:c r="I3" s="46" t="n">
        <x:v>0.027079</x:v>
      </x:c>
      <x:c r="J3" s="46" t="n">
        <x:v>0.324952</x:v>
      </x:c>
      <x:c r="K3" t="str">
        <x:v>Low Risk</x:v>
      </x:c>
    </x:row>
    <x:row r="4">
      <x:c r="A4" s="30" t="n">
        <x:v>45717</x:v>
      </x:c>
      <x:c r="B4" t="str">
        <x:v>Mar 2025</x:v>
      </x:c>
      <x:c r="C4" t="n">
        <x:v>2025</x:v>
      </x:c>
      <x:c r="D4" t="n">
        <x:v>517</x:v>
      </x:c>
      <x:c r="E4" t="n">
        <x:v>11</x:v>
      </x:c>
      <x:c r="F4" t="n">
        <x:v>8</x:v>
      </x:c>
      <x:c r="G4" t="n">
        <x:v>520</x:v>
      </x:c>
      <x:c r="H4" t="n">
        <x:v>518.5</x:v>
      </x:c>
      <x:c r="I4" s="46" t="n">
        <x:v>0.015429</x:v>
      </x:c>
      <x:c r="J4" s="46" t="n">
        <x:v>0.185149</x:v>
      </x:c>
      <x:c r="K4" t="str">
        <x:v>Low Risk</x:v>
      </x:c>
    </x:row>
    <x:row r="5">
      <x:c r="A5" s="30" t="n">
        <x:v>45748</x:v>
      </x:c>
      <x:c r="B5" t="str">
        <x:v>Apr 2025</x:v>
      </x:c>
      <x:c r="C5" t="n">
        <x:v>2025</x:v>
      </x:c>
      <x:c r="D5" t="n">
        <x:v>520</x:v>
      </x:c>
      <x:c r="E5" t="n">
        <x:v>9</x:v>
      </x:c>
      <x:c r="F5" t="n">
        <x:v>6</x:v>
      </x:c>
      <x:c r="G5" t="n">
        <x:v>523</x:v>
      </x:c>
      <x:c r="H5" t="n">
        <x:v>521.5</x:v>
      </x:c>
      <x:c r="I5" s="46" t="n">
        <x:v>0.011505</x:v>
      </x:c>
      <x:c r="J5" s="46" t="n">
        <x:v>0.138063</x:v>
      </x:c>
      <x:c r="K5" t="str">
        <x:v>Low Risk</x:v>
      </x:c>
    </x:row>
    <x:row r="6">
      <x:c r="A6" s="30" t="n">
        <x:v>45778</x:v>
      </x:c>
      <x:c r="B6" t="str">
        <x:v>May 2025</x:v>
      </x:c>
      <x:c r="C6" t="n">
        <x:v>2025</x:v>
      </x:c>
      <x:c r="D6" t="n">
        <x:v>523</x:v>
      </x:c>
      <x:c r="E6" t="n">
        <x:v>15</x:v>
      </x:c>
      <x:c r="F6" t="n">
        <x:v>14</x:v>
      </x:c>
      <x:c r="G6" t="n">
        <x:v>524</x:v>
      </x:c>
      <x:c r="H6" t="n">
        <x:v>523.5</x:v>
      </x:c>
      <x:c r="I6" s="46" t="n">
        <x:v>0.026743</x:v>
      </x:c>
      <x:c r="J6" s="46" t="n">
        <x:v>0.320917</x:v>
      </x:c>
      <x:c r="K6" t="str">
        <x:v>Low Risk</x:v>
      </x:c>
    </x:row>
    <x:row r="7">
      <x:c r="A7" s="30" t="n">
        <x:v>45809</x:v>
      </x:c>
      <x:c r="B7" t="str">
        <x:v>Jun 2025</x:v>
      </x:c>
      <x:c r="C7" t="n">
        <x:v>2025</x:v>
      </x:c>
      <x:c r="D7" t="n">
        <x:v>525</x:v>
      </x:c>
      <x:c r="E7" t="n">
        <x:v>13</x:v>
      </x:c>
      <x:c r="F7" t="n">
        <x:v>11</x:v>
      </x:c>
      <x:c r="G7" t="n">
        <x:v>526</x:v>
      </x:c>
      <x:c r="H7" t="n">
        <x:v>525.5</x:v>
      </x:c>
      <x:c r="I7" s="46" t="n">
        <x:v>0.020932</x:v>
      </x:c>
      <x:c r="J7" s="46" t="n">
        <x:v>0.251189</x:v>
      </x:c>
      <x:c r="K7" t="str">
        <x:v>Low Risk</x:v>
      </x:c>
    </x:row>
    <x:row r="8">
      <x:c r="A8" s="30" t="n">
        <x:v>45839</x:v>
      </x:c>
      <x:c r="B8" t="str">
        <x:v>Jul 2025</x:v>
      </x:c>
      <x:c r="C8" t="n">
        <x:v>2025</x:v>
      </x:c>
      <x:c r="D8" t="n">
        <x:v>526</x:v>
      </x:c>
      <x:c r="E8" t="n">
        <x:v>11</x:v>
      </x:c>
      <x:c r="F8" t="n">
        <x:v>8</x:v>
      </x:c>
      <x:c r="G8" t="n">
        <x:v>529</x:v>
      </x:c>
      <x:c r="H8" t="n">
        <x:v>527.5</x:v>
      </x:c>
      <x:c r="I8" s="46" t="n">
        <x:v>0.015166</x:v>
      </x:c>
      <x:c r="J8" s="46" t="n">
        <x:v>0.181991</x:v>
      </x:c>
      <x:c r="K8" t="str">
        <x:v>Low Risk</x:v>
      </x:c>
    </x:row>
    <x:row r="9">
      <x:c r="A9" s="30" t="n">
        <x:v>45870</x:v>
      </x:c>
      <x:c r="B9" t="str">
        <x:v>Aug 2025</x:v>
      </x:c>
      <x:c r="C9" t="n">
        <x:v>2025</x:v>
      </x:c>
      <x:c r="D9" t="n">
        <x:v>530</x:v>
      </x:c>
      <x:c r="E9" t="n">
        <x:v>20</x:v>
      </x:c>
      <x:c r="F9" t="n">
        <x:v>12</x:v>
      </x:c>
      <x:c r="G9" t="n">
        <x:v>537</x:v>
      </x:c>
      <x:c r="H9" t="n">
        <x:v>533.5</x:v>
      </x:c>
      <x:c r="I9" s="46" t="n">
        <x:v>0.022493</x:v>
      </x:c>
      <x:c r="J9" s="46" t="n">
        <x:v>0.269916</x:v>
      </x:c>
      <x:c r="K9" t="str">
        <x:v>Low Risk</x:v>
      </x:c>
    </x:row>
    <x:row r="10">
      <x:c r="A10" s="30" t="n">
        <x:v>45901</x:v>
      </x:c>
      <x:c r="B10" t="str">
        <x:v>Sep 2025</x:v>
      </x:c>
      <x:c r="C10" t="n">
        <x:v>2025</x:v>
      </x:c>
      <x:c r="D10" t="n">
        <x:v>537</x:v>
      </x:c>
      <x:c r="E10" t="n">
        <x:v>18</x:v>
      </x:c>
      <x:c r="F10" t="n">
        <x:v>12</x:v>
      </x:c>
      <x:c r="G10" t="n">
        <x:v>543</x:v>
      </x:c>
      <x:c r="H10" t="n">
        <x:v>540</x:v>
      </x:c>
      <x:c r="I10" s="46" t="n">
        <x:v>0.022222</x:v>
      </x:c>
      <x:c r="J10" s="46" t="n">
        <x:v>0.266667</x:v>
      </x:c>
      <x:c r="K10" t="str">
        <x:v>Low Risk</x:v>
      </x:c>
    </x:row>
    <x:row r="11">
      <x:c r="A11" s="30" t="n">
        <x:v>45931</x:v>
      </x:c>
      <x:c r="B11" t="str">
        <x:v>Oct 2025</x:v>
      </x:c>
      <x:c r="C11" t="n">
        <x:v>2025</x:v>
      </x:c>
      <x:c r="D11" t="n">
        <x:v>544</x:v>
      </x:c>
      <x:c r="E11" t="n">
        <x:v>12</x:v>
      </x:c>
      <x:c r="F11" t="n">
        <x:v>9</x:v>
      </x:c>
      <x:c r="G11" t="n">
        <x:v>546</x:v>
      </x:c>
      <x:c r="H11" t="n">
        <x:v>545</x:v>
      </x:c>
      <x:c r="I11" s="46" t="n">
        <x:v>0.016514</x:v>
      </x:c>
      <x:c r="J11" s="46" t="n">
        <x:v>0.198165</x:v>
      </x:c>
      <x:c r="K11" t="str">
        <x:v>Low Risk</x:v>
      </x:c>
    </x:row>
    <x:row r="12">
      <x:c r="A12" s="30" t="n">
        <x:v>45962</x:v>
      </x:c>
      <x:c r="B12" t="str">
        <x:v>Nov 2025</x:v>
      </x:c>
      <x:c r="C12" t="n">
        <x:v>2025</x:v>
      </x:c>
      <x:c r="D12" t="n">
        <x:v>548</x:v>
      </x:c>
      <x:c r="E12" t="n">
        <x:v>20</x:v>
      </x:c>
      <x:c r="F12" t="n">
        <x:v>13</x:v>
      </x:c>
      <x:c r="G12" t="n">
        <x:v>553</x:v>
      </x:c>
      <x:c r="H12" t="n">
        <x:v>550.5</x:v>
      </x:c>
      <x:c r="I12" s="46" t="n">
        <x:v>0.023615</x:v>
      </x:c>
      <x:c r="J12" s="46" t="n">
        <x:v>0.283379</x:v>
      </x:c>
      <x:c r="K12" t="str">
        <x:v>Low Risk</x:v>
      </x:c>
    </x:row>
    <x:row r="13">
      <x:c r="A13" s="30" t="n">
        <x:v>45992</x:v>
      </x:c>
      <x:c r="B13" t="str">
        <x:v>Dec 2025</x:v>
      </x:c>
      <x:c r="C13" t="n">
        <x:v>2025</x:v>
      </x:c>
      <x:c r="D13" t="n">
        <x:v>554</x:v>
      </x:c>
      <x:c r="E13" t="n">
        <x:v>18</x:v>
      </x:c>
      <x:c r="F13" t="n">
        <x:v>7</x:v>
      </x:c>
      <x:c r="G13" t="n">
        <x:v>564</x:v>
      </x:c>
      <x:c r="H13" t="n">
        <x:v>559</x:v>
      </x:c>
      <x:c r="I13" s="46" t="n">
        <x:v>0.012522</x:v>
      </x:c>
      <x:c r="J13" s="46" t="n">
        <x:v>0.150268</x:v>
      </x:c>
      <x:c r="K13" t="str">
        <x:v>Low Risk</x:v>
      </x:c>
    </x:row>
    <x:row r="14">
      <x:c r="A14" s="30" t="n">
        <x:v>46023</x:v>
      </x:c>
      <x:c r="B14" t="str">
        <x:v>Jan 2026</x:v>
      </x:c>
      <x:c r="C14" t="n">
        <x:v>2026</x:v>
      </x:c>
      <x:c r="D14" t="n">
        <x:v>564</x:v>
      </x:c>
      <x:c r="E14" t="n">
        <x:v>10</x:v>
      </x:c>
      <x:c r="F14" t="n">
        <x:v>10</x:v>
      </x:c>
      <x:c r="G14" t="n">
        <x:v>564</x:v>
      </x:c>
      <x:c r="H14" t="n">
        <x:v>564</x:v>
      </x:c>
      <x:c r="I14" s="46" t="n">
        <x:v>0.01773</x:v>
      </x:c>
      <x:c r="J14" s="46" t="n">
        <x:v>0.212766</x:v>
      </x:c>
      <x:c r="K14" t="str">
        <x:v>Low Risk</x:v>
      </x:c>
    </x:row>
    <x:row r="15">
      <x:c r="A15" s="30" t="n">
        <x:v>46054</x:v>
      </x:c>
      <x:c r="B15" t="str">
        <x:v>Feb 2026</x:v>
      </x:c>
      <x:c r="C15" t="n">
        <x:v>2026</x:v>
      </x:c>
      <x:c r="D15" t="n">
        <x:v>564</x:v>
      </x:c>
      <x:c r="E15" t="n">
        <x:v>13</x:v>
      </x:c>
      <x:c r="F15" t="n">
        <x:v>6</x:v>
      </x:c>
      <x:c r="G15" t="n">
        <x:v>571</x:v>
      </x:c>
      <x:c r="H15" t="n">
        <x:v>567.5</x:v>
      </x:c>
      <x:c r="I15" s="46" t="n">
        <x:v>0.010573</x:v>
      </x:c>
      <x:c r="J15" s="46" t="n">
        <x:v>0.126872</x:v>
      </x:c>
      <x:c r="K15" t="str">
        <x:v>Low Risk</x:v>
      </x:c>
    </x:row>
    <x:row r="16">
      <x:c r="A16" s="30" t="n">
        <x:v>46082</x:v>
      </x:c>
      <x:c r="B16" t="str">
        <x:v>Mar 2026</x:v>
      </x:c>
      <x:c r="C16" t="n">
        <x:v>2026</x:v>
      </x:c>
      <x:c r="D16" t="n">
        <x:v>571</x:v>
      </x:c>
      <x:c r="E16" t="n">
        <x:v>12</x:v>
      </x:c>
      <x:c r="F16" t="n">
        <x:v>7</x:v>
      </x:c>
      <x:c r="G16" t="n">
        <x:v>576</x:v>
      </x:c>
      <x:c r="H16" t="n">
        <x:v>573.5</x:v>
      </x:c>
      <x:c r="I16" s="46" t="n">
        <x:v>0.012206</x:v>
      </x:c>
      <x:c r="J16" s="46" t="n">
        <x:v>0.146469</x:v>
      </x:c>
      <x:c r="K16" t="str">
        <x:v>Low Risk</x:v>
      </x:c>
    </x:row>
    <x:row r="17">
      <x:c r="A17" s="30" t="n">
        <x:v>46113</x:v>
      </x:c>
      <x:c r="B17" t="str">
        <x:v>Apr 2026</x:v>
      </x:c>
      <x:c r="C17" t="n">
        <x:v>2026</x:v>
      </x:c>
      <x:c r="D17" t="n">
        <x:v>577</x:v>
      </x:c>
      <x:c r="E17" t="n">
        <x:v>13</x:v>
      </x:c>
      <x:c r="F17" t="n">
        <x:v>6</x:v>
      </x:c>
      <x:c r="G17" t="n">
        <x:v>583</x:v>
      </x:c>
      <x:c r="H17" t="n">
        <x:v>580</x:v>
      </x:c>
      <x:c r="I17" s="46" t="n">
        <x:v>0.010345</x:v>
      </x:c>
      <x:c r="J17" s="46" t="n">
        <x:v>0.124138</x:v>
      </x:c>
      <x:c r="K17" t="str">
        <x:v>Low Risk</x:v>
      </x:c>
    </x:row>
    <x:row r="18">
      <x:c r="A18" s="30" t="n">
        <x:v>46143</x:v>
      </x:c>
      <x:c r="B18" t="str">
        <x:v>May 2026</x:v>
      </x:c>
      <x:c r="C18" t="n">
        <x:v>2026</x:v>
      </x:c>
      <x:c r="D18" t="n">
        <x:v>585</x:v>
      </x:c>
      <x:c r="E18" t="n">
        <x:v>9</x:v>
      </x:c>
      <x:c r="F18" t="n">
        <x:v>10</x:v>
      </x:c>
      <x:c r="G18" t="n">
        <x:v>582</x:v>
      </x:c>
      <x:c r="H18" t="n">
        <x:v>583.5</x:v>
      </x:c>
      <x:c r="I18" s="46" t="n">
        <x:v>0.017138</x:v>
      </x:c>
      <x:c r="J18" s="46" t="n">
        <x:v>0.205656</x:v>
      </x:c>
      <x:c r="K18" t="str">
        <x:v>Low Risk</x:v>
      </x:c>
    </x:row>
    <x:row r="19">
      <x:c r="A19" s="30" t="n">
        <x:v>46174</x:v>
      </x:c>
      <x:c r="B19" t="str">
        <x:v>Jun 2026</x:v>
      </x:c>
      <x:c r="C19" t="n">
        <x:v>2026</x:v>
      </x:c>
      <x:c r="D19" t="n">
        <x:v>583</x:v>
      </x:c>
      <x:c r="E19" t="n">
        <x:v>15</x:v>
      </x:c>
      <x:c r="F19" t="n">
        <x:v>5</x:v>
      </x:c>
      <x:c r="G19" t="n">
        <x:v>592</x:v>
      </x:c>
      <x:c r="H19" t="n">
        <x:v>587.5</x:v>
      </x:c>
      <x:c r="I19" s="46" t="n">
        <x:v>0.008511</x:v>
      </x:c>
      <x:c r="J19" s="46" t="n">
        <x:v>0.102128</x:v>
      </x:c>
      <x:c r="K19" t="str">
        <x:v>Low Risk</x:v>
      </x:c>
    </x:row>
  </x:sheetData>
  <x:conditionalFormatting sqref="I2:I19">
    <x:cfRule type="colorScale" priority="1">
      <x:colorScale>
        <x:cfvo type="min"/>
        <x:cfvo type="percentile" val="50"/>
        <x:cfvo type="max"/>
        <x:color rgb="FFDFF2E1"/>
        <x:color rgb="FFFFF4CC"/>
        <x:color rgb="FFF7C6C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522c8bbb674f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20" t="str">
        <x:v>Department</x:v>
      </x:c>
      <x:c r="B1" s="20" t="str">
        <x:v>AverageHeadcount</x:v>
      </x:c>
      <x:c r="C1" s="20" t="str">
        <x:v>Exits</x:v>
      </x:c>
      <x:c r="D1" s="20" t="str">
        <x:v>TurnoverRate</x:v>
      </x:c>
      <x:c r="E1" s="20" t="str">
        <x:v>AnnualizedTurnoverRate</x:v>
      </x:c>
      <x:c r="F1" s="20" t="str">
        <x:v>RiskLevel</x:v>
      </x:c>
    </x:row>
    <x:row r="2">
      <x:c r="A2" t="str">
        <x:v>Information Technology</x:v>
      </x:c>
      <x:c r="B2" t="n">
        <x:v>33.5</x:v>
      </x:c>
      <x:c r="C2" t="n">
        <x:v>12</x:v>
      </x:c>
      <x:c r="D2" s="46" t="n">
        <x:v>0.358209</x:v>
      </x:c>
      <x:c r="E2" s="46" t="n">
        <x:v>0.238806</x:v>
      </x:c>
      <x:c r="F2" t="str">
        <x:v>Critical Risk</x:v>
      </x:c>
    </x:row>
    <x:row r="3">
      <x:c r="A3" t="str">
        <x:v>Administration</x:v>
      </x:c>
      <x:c r="B3" t="n">
        <x:v>62.81</x:v>
      </x:c>
      <x:c r="C3" t="n">
        <x:v>22</x:v>
      </x:c>
      <x:c r="D3" s="46" t="n">
        <x:v>0.350287</x:v>
      </x:c>
      <x:c r="E3" s="46" t="n">
        <x:v>0.233525</x:v>
      </x:c>
      <x:c r="F3" t="str">
        <x:v>Critical Risk</x:v>
      </x:c>
    </x:row>
    <x:row r="4">
      <x:c r="A4" t="str">
        <x:v>Finance &amp; Accounts</x:v>
      </x:c>
      <x:c r="B4" t="n">
        <x:v>37.92</x:v>
      </x:c>
      <x:c r="C4" t="n">
        <x:v>13</x:v>
      </x:c>
      <x:c r="D4" s="46" t="n">
        <x:v>0.342857</x:v>
      </x:c>
      <x:c r="E4" s="46" t="n">
        <x:v>0.228571</x:v>
      </x:c>
      <x:c r="F4" t="str">
        <x:v>Critical Risk</x:v>
      </x:c>
    </x:row>
    <x:row r="5">
      <x:c r="A5" t="str">
        <x:v>Quality Assurance</x:v>
      </x:c>
      <x:c r="B5" t="n">
        <x:v>56.97</x:v>
      </x:c>
      <x:c r="C5" t="n">
        <x:v>19</x:v>
      </x:c>
      <x:c r="D5" s="46" t="n">
        <x:v>0.333496</x:v>
      </x:c>
      <x:c r="E5" s="46" t="n">
        <x:v>0.222331</x:v>
      </x:c>
      <x:c r="F5" t="str">
        <x:v>Critical Risk</x:v>
      </x:c>
    </x:row>
    <x:row r="6">
      <x:c r="A6" t="str">
        <x:v>Production</x:v>
      </x:c>
      <x:c r="B6" t="n">
        <x:v>198.64</x:v>
      </x:c>
      <x:c r="C6" t="n">
        <x:v>62</x:v>
      </x:c>
      <x:c r="D6" s="46" t="n">
        <x:v>0.312124</x:v>
      </x:c>
      <x:c r="E6" s="46" t="n">
        <x:v>0.208083</x:v>
      </x:c>
      <x:c r="F6" t="str">
        <x:v>Critical Risk</x:v>
      </x:c>
    </x:row>
    <x:row r="7">
      <x:c r="A7" t="str">
        <x:v>Supply Chain</x:v>
      </x:c>
      <x:c r="B7" t="n">
        <x:v>58.89</x:v>
      </x:c>
      <x:c r="C7" t="n">
        <x:v>17</x:v>
      </x:c>
      <x:c r="D7" s="46" t="n">
        <x:v>0.288679</x:v>
      </x:c>
      <x:c r="E7" s="46" t="n">
        <x:v>0.192453</x:v>
      </x:c>
      <x:c r="F7" t="str">
        <x:v>Very High Risk</x:v>
      </x:c>
    </x:row>
    <x:row r="8">
      <x:c r="A8" t="str">
        <x:v>Sales &amp; Marketing</x:v>
      </x:c>
      <x:c r="B8" t="n">
        <x:v>63.97</x:v>
      </x:c>
      <x:c r="C8" t="n">
        <x:v>18</x:v>
      </x:c>
      <x:c r="D8" s="46" t="n">
        <x:v>0.281372</x:v>
      </x:c>
      <x:c r="E8" s="46" t="n">
        <x:v>0.187581</x:v>
      </x:c>
      <x:c r="F8" t="str">
        <x:v>Very High Risk</x:v>
      </x:c>
    </x:row>
    <x:row r="9">
      <x:c r="A9" t="str">
        <x:v>Human Resources</x:v>
      </x:c>
      <x:c r="B9" t="n">
        <x:v>33.75</x:v>
      </x:c>
      <x:c r="C9" t="n">
        <x:v>7</x:v>
      </x:c>
      <x:c r="D9" s="46" t="n">
        <x:v>0.207407</x:v>
      </x:c>
      <x:c r="E9" s="46" t="n">
        <x:v>0.138272</x:v>
      </x:c>
      <x:c r="F9" t="str">
        <x:v>High Risk</x:v>
      </x:c>
    </x:row>
  </x:sheetData>
  <x:conditionalFormatting sqref="D2:D9">
    <x:cfRule type="dataBar" priority="1">
      <x:dataBar>
        <x:cfvo type="min"/>
        <x:cfvo type="max"/>
        <x:color rgb="FF1F6E8C"/>
      </x:dataBar>
      <x:extLst>
        <x:ext xmlns:x14="http://schemas.microsoft.com/office/spreadsheetml/2009/9/main" uri="{B025F937-C7B1-47D3-B67F-A62EFF666E3E}">
          <x14:id>{6C2C65B7-E2AE-51A6-C520-E4F6C96A2FA3}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d2a6e4b2ff944f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2C65B7-E2AE-51A6-C520-E4F6C96A2FA3}">
            <x14:dataBar gradient="1">
              <x14:cfvo type="min"/>
              <x14:cfvo type="max"/>
              <x14:fillColor rgb="FF1F6E8C"/>
            </x14:dataBar>
          </x14:cfRule>
          <xm:sqref>D2:D9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</x:cols>
  <x:sheetData>
    <x:row r="1">
      <x:c r="A1" s="20" t="str">
        <x:v>ExitReason</x:v>
      </x:c>
      <x:c r="B1" s="20" t="str">
        <x:v>Exits</x:v>
      </x:c>
      <x:c r="C1" s="20" t="str">
        <x:v>SharePct</x:v>
      </x:c>
    </x:row>
    <x:row r="2">
      <x:c r="A2" t="str">
        <x:v>Better Opportunity</x:v>
      </x:c>
      <x:c r="B2" t="n">
        <x:v>32</x:v>
      </x:c>
      <x:c r="C2" s="46" t="n">
        <x:v>0.188235</x:v>
      </x:c>
    </x:row>
    <x:row r="3">
      <x:c r="A3" t="str">
        <x:v>End of Contract</x:v>
      </x:c>
      <x:c r="B3" t="n">
        <x:v>22</x:v>
      </x:c>
      <x:c r="C3" s="46" t="n">
        <x:v>0.129412</x:v>
      </x:c>
    </x:row>
    <x:row r="4">
      <x:c r="A4" t="str">
        <x:v>Career Growth</x:v>
      </x:c>
      <x:c r="B4" t="n">
        <x:v>22</x:v>
      </x:c>
      <x:c r="C4" s="46" t="n">
        <x:v>0.129412</x:v>
      </x:c>
    </x:row>
    <x:row r="5">
      <x:c r="A5" t="str">
        <x:v>Performance</x:v>
      </x:c>
      <x:c r="B5" t="n">
        <x:v>22</x:v>
      </x:c>
      <x:c r="C5" s="46" t="n">
        <x:v>0.129412</x:v>
      </x:c>
    </x:row>
    <x:row r="6">
      <x:c r="A6" t="str">
        <x:v>Work-Life Balance</x:v>
      </x:c>
      <x:c r="B6" t="n">
        <x:v>17</x:v>
      </x:c>
      <x:c r="C6" s="46" t="n">
        <x:v>0.1</x:v>
      </x:c>
    </x:row>
    <x:row r="7">
      <x:c r="A7" t="str">
        <x:v>Compensation &amp; Benefits</x:v>
      </x:c>
      <x:c r="B7" t="n">
        <x:v>16</x:v>
      </x:c>
      <x:c r="C7" s="46" t="n">
        <x:v>0.094118</x:v>
      </x:c>
    </x:row>
    <x:row r="8">
      <x:c r="A8" t="str">
        <x:v>Supervisor / Management</x:v>
      </x:c>
      <x:c r="B8" t="n">
        <x:v>16</x:v>
      </x:c>
      <x:c r="C8" s="46" t="n">
        <x:v>0.094118</x:v>
      </x:c>
    </x:row>
    <x:row r="9">
      <x:c r="A9" t="str">
        <x:v>Personal / Family</x:v>
      </x:c>
      <x:c r="B9" t="n">
        <x:v>11</x:v>
      </x:c>
      <x:c r="C9" s="46" t="n">
        <x:v>0.064706</x:v>
      </x:c>
    </x:row>
    <x:row r="10">
      <x:c r="A10" t="str">
        <x:v>Relocation</x:v>
      </x:c>
      <x:c r="B10" t="n">
        <x:v>9</x:v>
      </x:c>
      <x:c r="C10" s="46" t="n">
        <x:v>0.052941</x:v>
      </x:c>
    </x:row>
    <x:row r="11">
      <x:c r="A11" t="str">
        <x:v>Retirement</x:v>
      </x:c>
      <x:c r="B11" t="n">
        <x:v>3</x:v>
      </x:c>
      <x:c r="C11" s="46" t="n">
        <x:v>0.017647</x:v>
      </x:c>
    </x:row>
  </x:sheetData>
  <x:pageMargins left="0.7" right="0.7" top="0.75" bottom="0.75" header="0.3" footer="0.3"/>
  <x:tableParts count="1">
    <x:tablePart xmlns:r="http://schemas.openxmlformats.org/officeDocument/2006/relationships" r:id="Rc6ea25fce89040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5" t="str">
        <x:v>Hossain Group | Employee Turnover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53" t="n">
        <x:f>Turnover_Calculator!E6</x:f>
        <x:v>592</x:v>
      </x:c>
      <x:c r="B4" s="53"/>
      <x:c r="C4" s="53"/>
      <x:c r="D4" s="53" t="n">
        <x:f>Turnover_Calculator!E9</x:f>
        <x:v>170</x:v>
      </x:c>
      <x:c r="E4" s="53"/>
      <x:c r="F4" s="53"/>
      <x:c r="G4" s="58" t="n">
        <x:f>Turnover_Calculator!E11</x:f>
        <x:v>0.3057553956834532</x:v>
      </x:c>
      <x:c r="H4" s="58"/>
      <x:c r="I4" s="58"/>
      <x:c r="J4" s="58" t="n">
        <x:f>Turnover_Calculator!E12</x:f>
        <x:v>0.20383693045563547</x:v>
      </x:c>
      <x:c r="K4" s="58"/>
      <x:c r="L4" s="58"/>
      <x:c r="M4" s="63" t="str">
        <x:f>Turnover_Calculator!E13</x:f>
        <x:v>Critical Risk</x:v>
      </x:c>
      <x:c r="N4" s="63"/>
    </x:row>
    <x:row r="5">
      <x:c r="A5" s="53"/>
      <x:c r="B5" s="53"/>
      <x:c r="C5" s="53"/>
      <x:c r="D5" s="53"/>
      <x:c r="E5" s="53"/>
      <x:c r="F5" s="53"/>
      <x:c r="G5" s="58"/>
      <x:c r="H5" s="58"/>
      <x:c r="I5" s="58"/>
      <x:c r="J5" s="58"/>
      <x:c r="K5" s="58"/>
      <x:c r="L5" s="58"/>
      <x:c r="M5" s="63"/>
      <x:c r="N5" s="63"/>
    </x:row>
    <x:row r="6">
      <x:c r="A6" s="53"/>
      <x:c r="B6" s="53"/>
      <x:c r="C6" s="53"/>
      <x:c r="D6" s="53"/>
      <x:c r="E6" s="53"/>
      <x:c r="F6" s="53"/>
      <x:c r="G6" s="58"/>
      <x:c r="H6" s="58"/>
      <x:c r="I6" s="58"/>
      <x:c r="J6" s="58"/>
      <x:c r="K6" s="58"/>
      <x:c r="L6" s="58"/>
      <x:c r="M6" s="63"/>
      <x:c r="N6" s="63"/>
    </x:row>
    <x:row r="7">
      <x:c r="A7" s="53"/>
      <x:c r="B7" s="53"/>
      <x:c r="C7" s="53"/>
      <x:c r="D7" s="53"/>
      <x:c r="E7" s="53"/>
      <x:c r="F7" s="53"/>
      <x:c r="G7" s="58"/>
      <x:c r="H7" s="58"/>
      <x:c r="I7" s="58"/>
      <x:c r="J7" s="58"/>
      <x:c r="K7" s="58"/>
      <x:c r="L7" s="58"/>
      <x:c r="M7" s="63"/>
      <x:c r="N7" s="63"/>
    </x:row>
    <x:row r="8">
      <x:c r="A8" s="24" t="str">
        <x:v>Active Employees</x:v>
      </x:c>
      <x:c r="B8" s="24"/>
      <x:c r="C8" s="24"/>
      <x:c r="D8" s="24" t="str">
        <x:v>Total Exits</x:v>
      </x:c>
      <x:c r="E8" s="24"/>
      <x:c r="F8" s="24"/>
      <x:c r="G8" s="24" t="str">
        <x:v>Period Turnover</x:v>
      </x:c>
      <x:c r="H8" s="24"/>
      <x:c r="I8" s="24"/>
      <x:c r="J8" s="24" t="str">
        <x:v>Annualized Turnover</x:v>
      </x:c>
      <x:c r="K8" s="24"/>
      <x:c r="L8" s="24"/>
      <x:c r="M8" s="24" t="str">
        <x:v>Current Risk</x:v>
      </x:c>
      <x:c r="N8" s="24"/>
    </x:row>
  </x:sheetData>
  <x:mergeCells>
    <x:mergeCell ref="A1:N2"/>
    <x:mergeCell ref="A4:C7"/>
    <x:mergeCell ref="A8:C8"/>
    <x:mergeCell ref="D4:F7"/>
    <x:mergeCell ref="D8:F8"/>
    <x:mergeCell ref="G4:I7"/>
    <x:mergeCell ref="G8:I8"/>
    <x:mergeCell ref="J4:L7"/>
    <x:mergeCell ref="J8:L8"/>
    <x:mergeCell ref="M4:N7"/>
    <x:mergeCell ref="M8:N8"/>
  </x:mergeCells>
  <x:pageMargins left="0.7" right="0.7" top="0.75" bottom="0.75" header="0.3" footer="0.3"/>
  <x:drawing xmlns:r="http://schemas.openxmlformats.org/officeDocument/2006/relationships" r:id="Rf75fdc6cd25c4aa6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5" hidden="0" customWidth="1"/>
    <x:col min="4" max="4" width="22" hidden="0" customWidth="1"/>
  </x:cols>
  <x:sheetData>
    <x:row r="1">
      <x:c r="A1" s="34" t="str">
        <x:v>Sheet / File</x:v>
      </x:c>
      <x:c r="B1" s="34" t="str">
        <x:v>Field</x:v>
      </x:c>
      <x:c r="C1" s="34" t="str">
        <x:v>Definition</x:v>
      </x:c>
      <x:c r="D1" s="34" t="str">
        <x:v>Data Type / Format</x:v>
      </x:c>
    </x:row>
    <x:row r="2">
      <x:c r="A2" s="16" t="str">
        <x:v>Employee_Data</x:v>
      </x:c>
      <x:c r="B2" s="16" t="str">
        <x:v>Employee_ID</x:v>
      </x:c>
      <x:c r="C2" s="16" t="str">
        <x:v>Unique synthetic employee ID</x:v>
      </x:c>
      <x:c r="D2" s="16" t="str">
        <x:v>Text</x:v>
      </x:c>
    </x:row>
    <x:row r="3">
      <x:c r="A3" s="16" t="str">
        <x:v>Employee_Data</x:v>
      </x:c>
      <x:c r="B3" s="16" t="str">
        <x:v>Department</x:v>
      </x:c>
      <x:c r="C3" s="16" t="str">
        <x:v>Employee department</x:v>
      </x:c>
      <x:c r="D3" s="16" t="str">
        <x:v>Text</x:v>
      </x:c>
    </x:row>
    <x:row r="4">
      <x:c r="A4" s="16" t="str">
        <x:v>Employee_Data</x:v>
      </x:c>
      <x:c r="B4" s="16" t="str">
        <x:v>Join_Date</x:v>
      </x:c>
      <x:c r="C4" s="16" t="str">
        <x:v>Joining date</x:v>
      </x:c>
      <x:c r="D4" s="16" t="str">
        <x:v>Date</x:v>
      </x:c>
    </x:row>
    <x:row r="5">
      <x:c r="A5" s="16" t="str">
        <x:v>Employee_Data</x:v>
      </x:c>
      <x:c r="B5" s="16" t="str">
        <x:v>Exit_Date</x:v>
      </x:c>
      <x:c r="C5" s="16" t="str">
        <x:v>Separation date; blank for active employees</x:v>
      </x:c>
      <x:c r="D5" s="16" t="str">
        <x:v>Date / Blank</x:v>
      </x:c>
    </x:row>
    <x:row r="6">
      <x:c r="A6" s="16" t="str">
        <x:v>Employee_Data</x:v>
      </x:c>
      <x:c r="B6" s="16" t="str">
        <x:v>Exit_Reason</x:v>
      </x:c>
      <x:c r="C6" s="16" t="str">
        <x:v>Primary separation reason</x:v>
      </x:c>
      <x:c r="D6" s="16" t="str">
        <x:v>Text</x:v>
      </x:c>
    </x:row>
    <x:row r="7">
      <x:c r="A7" s="16" t="str">
        <x:v>Monthly_Summary</x:v>
      </x:c>
      <x:c r="B7" s="16" t="str">
        <x:v>AverageHeadcount</x:v>
      </x:c>
      <x:c r="C7" s="16" t="str">
        <x:v>(Opening Headcount + Closing Headcount) / 2</x:v>
      </x:c>
      <x:c r="D7" s="16" t="str">
        <x:v>Number</x:v>
      </x:c>
    </x:row>
    <x:row r="8">
      <x:c r="A8" s="16" t="str">
        <x:v>Monthly_Summary</x:v>
      </x:c>
      <x:c r="B8" s="16" t="str">
        <x:v>TurnoverRate</x:v>
      </x:c>
      <x:c r="C8" s="16" t="str">
        <x:v>Exits / Average Headcount</x:v>
      </x:c>
      <x:c r="D8" s="16" t="str">
        <x:v>Percentage</x:v>
      </x:c>
    </x:row>
    <x:row r="9">
      <x:c r="A9" s="16" t="str">
        <x:v>Monthly_Summary</x:v>
      </x:c>
      <x:c r="B9" s="16" t="str">
        <x:v>AnnualizedTurnoverRate</x:v>
      </x:c>
      <x:c r="C9" s="16" t="str">
        <x:v>Monthly Turnover × 12</x:v>
      </x:c>
      <x:c r="D9" s="16" t="str">
        <x:v>Percentage</x:v>
      </x:c>
    </x:row>
    <x:row r="10">
      <x:c r="A10" s="16" t="str">
        <x:v>Turnover_Calculator</x:v>
      </x:c>
      <x:c r="B10" s="16" t="str">
        <x:v>Period Turnover</x:v>
      </x:c>
      <x:c r="C10" s="16" t="str">
        <x:v>Total Exits / Average Headcount</x:v>
      </x:c>
      <x:c r="D10" s="16" t="str">
        <x:v>Percentage</x:v>
      </x:c>
    </x:row>
    <x:row r="11">
      <x:c r="A11" s="16" t="str">
        <x:v>Turnover_Calculator</x:v>
      </x:c>
      <x:c r="B11" s="16" t="str">
        <x:v>Annualized Turnover</x:v>
      </x:c>
      <x:c r="C11" s="16" t="str">
        <x:v>Period Turnover × 12 / Period Months</x:v>
      </x:c>
      <x:c r="D11" s="16" t="str">
        <x:v>Percentage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4" max="4" width="26" hidden="0" customWidth="1"/>
    <x:col min="5" max="5" width="15" hidden="0" customWidth="1"/>
    <x:col min="7" max="7" width="28" hidden="0" customWidth="1"/>
    <x:col min="8" max="8" width="12" hidden="0" customWidth="1"/>
  </x:cols>
  <x:sheetData>
    <x:row r="1">
      <x:c r="A1" s="72" t="str">
        <x:v>Month</x:v>
      </x:c>
      <x:c r="B1" s="72" t="str">
        <x:v>Turnover Rate</x:v>
      </x:c>
      <x:c r="D1" s="72" t="str">
        <x:v>Department</x:v>
      </x:c>
      <x:c r="E1" s="72" t="str">
        <x:v>Turnover Rate</x:v>
      </x:c>
      <x:c r="G1" s="72" t="str">
        <x:v>Exit Reason</x:v>
      </x:c>
      <x:c r="H1" s="72" t="str">
        <x:v>Exits</x:v>
      </x:c>
    </x:row>
    <x:row r="2">
      <x:c r="A2" t="str">
        <x:v>Jan 2025</x:v>
      </x:c>
      <x:c r="B2" s="46" t="n">
        <x:v>0.023144</x:v>
      </x:c>
      <x:c r="D2" t="str">
        <x:v>Information Technology</x:v>
      </x:c>
      <x:c r="E2" s="46" t="n">
        <x:v>0.358209</x:v>
      </x:c>
      <x:c r="G2" t="str">
        <x:v>Better Opportunity</x:v>
      </x:c>
      <x:c r="H2" t="n">
        <x:v>32</x:v>
      </x:c>
    </x:row>
    <x:row r="3">
      <x:c r="A3" t="str">
        <x:v>Feb 2025</x:v>
      </x:c>
      <x:c r="B3" s="46" t="n">
        <x:v>0.027079</x:v>
      </x:c>
      <x:c r="D3" t="str">
        <x:v>Administration</x:v>
      </x:c>
      <x:c r="E3" s="46" t="n">
        <x:v>0.350287</x:v>
      </x:c>
      <x:c r="G3" t="str">
        <x:v>End of Contract</x:v>
      </x:c>
      <x:c r="H3" t="n">
        <x:v>22</x:v>
      </x:c>
    </x:row>
    <x:row r="4">
      <x:c r="A4" t="str">
        <x:v>Mar 2025</x:v>
      </x:c>
      <x:c r="B4" s="46" t="n">
        <x:v>0.015429</x:v>
      </x:c>
      <x:c r="D4" t="str">
        <x:v>Finance &amp; Accounts</x:v>
      </x:c>
      <x:c r="E4" s="46" t="n">
        <x:v>0.342857</x:v>
      </x:c>
      <x:c r="G4" t="str">
        <x:v>Career Growth</x:v>
      </x:c>
      <x:c r="H4" t="n">
        <x:v>22</x:v>
      </x:c>
    </x:row>
    <x:row r="5">
      <x:c r="A5" t="str">
        <x:v>Apr 2025</x:v>
      </x:c>
      <x:c r="B5" s="46" t="n">
        <x:v>0.011505</x:v>
      </x:c>
      <x:c r="D5" t="str">
        <x:v>Quality Assurance</x:v>
      </x:c>
      <x:c r="E5" s="46" t="n">
        <x:v>0.333496</x:v>
      </x:c>
      <x:c r="G5" t="str">
        <x:v>Performance</x:v>
      </x:c>
      <x:c r="H5" t="n">
        <x:v>22</x:v>
      </x:c>
    </x:row>
    <x:row r="6">
      <x:c r="A6" t="str">
        <x:v>May 2025</x:v>
      </x:c>
      <x:c r="B6" s="46" t="n">
        <x:v>0.026743</x:v>
      </x:c>
      <x:c r="D6" t="str">
        <x:v>Production</x:v>
      </x:c>
      <x:c r="E6" s="46" t="n">
        <x:v>0.312124</x:v>
      </x:c>
      <x:c r="G6" t="str">
        <x:v>Work-Life Balance</x:v>
      </x:c>
      <x:c r="H6" t="n">
        <x:v>17</x:v>
      </x:c>
    </x:row>
    <x:row r="7">
      <x:c r="A7" t="str">
        <x:v>Jun 2025</x:v>
      </x:c>
      <x:c r="B7" s="46" t="n">
        <x:v>0.020932</x:v>
      </x:c>
      <x:c r="D7" t="str">
        <x:v>Supply Chain</x:v>
      </x:c>
      <x:c r="E7" s="46" t="n">
        <x:v>0.288679</x:v>
      </x:c>
      <x:c r="G7" t="str">
        <x:v>Compensation &amp; Benefits</x:v>
      </x:c>
      <x:c r="H7" t="n">
        <x:v>16</x:v>
      </x:c>
    </x:row>
    <x:row r="8">
      <x:c r="A8" t="str">
        <x:v>Jul 2025</x:v>
      </x:c>
      <x:c r="B8" s="46" t="n">
        <x:v>0.015166</x:v>
      </x:c>
      <x:c r="D8" t="str">
        <x:v>Sales &amp; Marketing</x:v>
      </x:c>
      <x:c r="E8" s="46" t="n">
        <x:v>0.281372</x:v>
      </x:c>
      <x:c r="G8" t="str">
        <x:v>Supervisor / Management</x:v>
      </x:c>
      <x:c r="H8" t="n">
        <x:v>16</x:v>
      </x:c>
    </x:row>
    <x:row r="9">
      <x:c r="A9" t="str">
        <x:v>Aug 2025</x:v>
      </x:c>
      <x:c r="B9" s="46" t="n">
        <x:v>0.022493</x:v>
      </x:c>
      <x:c r="D9" t="str">
        <x:v>Human Resources</x:v>
      </x:c>
      <x:c r="E9" s="46" t="n">
        <x:v>0.207407</x:v>
      </x:c>
      <x:c r="G9" t="str">
        <x:v>Personal / Family</x:v>
      </x:c>
      <x:c r="H9" t="n">
        <x:v>11</x:v>
      </x:c>
    </x:row>
    <x:row r="10">
      <x:c r="A10" t="str">
        <x:v>Sep 2025</x:v>
      </x:c>
      <x:c r="B10" s="46" t="n">
        <x:v>0.022222</x:v>
      </x:c>
      <x:c r="G10" t="str">
        <x:v>Relocation</x:v>
      </x:c>
      <x:c r="H10" t="n">
        <x:v>9</x:v>
      </x:c>
    </x:row>
    <x:row r="11">
      <x:c r="A11" t="str">
        <x:v>Oct 2025</x:v>
      </x:c>
      <x:c r="B11" s="46" t="n">
        <x:v>0.016514</x:v>
      </x:c>
      <x:c r="G11" t="str">
        <x:v>Retirement</x:v>
      </x:c>
      <x:c r="H11" t="n">
        <x:v>3</x:v>
      </x:c>
    </x:row>
    <x:row r="12">
      <x:c r="A12" t="str">
        <x:v>Nov 2025</x:v>
      </x:c>
      <x:c r="B12" s="46" t="n">
        <x:v>0.023615</x:v>
      </x:c>
    </x:row>
    <x:row r="13">
      <x:c r="A13" t="str">
        <x:v>Dec 2025</x:v>
      </x:c>
      <x:c r="B13" s="46" t="n">
        <x:v>0.012522</x:v>
      </x:c>
    </x:row>
    <x:row r="14">
      <x:c r="A14" t="str">
        <x:v>Jan 2026</x:v>
      </x:c>
      <x:c r="B14" s="46" t="n">
        <x:v>0.01773</x:v>
      </x:c>
    </x:row>
    <x:row r="15">
      <x:c r="A15" t="str">
        <x:v>Feb 2026</x:v>
      </x:c>
      <x:c r="B15" s="46" t="n">
        <x:v>0.010573</x:v>
      </x:c>
    </x:row>
    <x:row r="16">
      <x:c r="A16" t="str">
        <x:v>Mar 2026</x:v>
      </x:c>
      <x:c r="B16" s="46" t="n">
        <x:v>0.012206</x:v>
      </x:c>
    </x:row>
    <x:row r="17">
      <x:c r="A17" t="str">
        <x:v>Apr 2026</x:v>
      </x:c>
      <x:c r="B17" s="46" t="n">
        <x:v>0.010345</x:v>
      </x:c>
    </x:row>
    <x:row r="18">
      <x:c r="A18" t="str">
        <x:v>May 2026</x:v>
      </x:c>
      <x:c r="B18" s="46" t="n">
        <x:v>0.017138</x:v>
      </x:c>
    </x:row>
    <x:row r="19">
      <x:c r="A19" t="str">
        <x:v>Jun 2026</x:v>
      </x:c>
      <x:c r="B19" s="46" t="n">
        <x:v>0.008511</x:v>
      </x:c>
    </x:row>
  </x:sheetData>
  <x:pageMargins left="0.7" right="0.7" top="0.75" bottom="0.75" header="0.3" footer="0.3"/>
</x:worksheet>
</file>